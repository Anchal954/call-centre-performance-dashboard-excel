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hidePivotFieldList="1"/>
  <mc:AlternateContent xmlns:mc="http://schemas.openxmlformats.org/markup-compatibility/2006">
    <mc:Choice Requires="x15">
      <x15ac:absPath xmlns:x15ac="http://schemas.microsoft.com/office/spreadsheetml/2010/11/ac" url="https://d.docs.live.net/7d0c43a9c69cde71/Desktop/final resume projects/"/>
    </mc:Choice>
  </mc:AlternateContent>
  <xr:revisionPtr revIDLastSave="1993" documentId="8_{10DE38A0-C16C-4FAE-A033-E683C3E43804}" xr6:coauthVersionLast="47" xr6:coauthVersionMax="47" xr10:uidLastSave="{3B0EDF54-BB03-4520-A20C-50647A00794D}"/>
  <bookViews>
    <workbookView xWindow="0" yWindow="190" windowWidth="19200" windowHeight="9890" activeTab="2" xr2:uid="{26D4546B-D2A1-4444-8EAF-A6228F96F0C1}"/>
  </bookViews>
  <sheets>
    <sheet name="pivots" sheetId="6" r:id="rId1"/>
    <sheet name="Data" sheetId="2" r:id="rId2"/>
    <sheet name="Customer Centre Report" sheetId="5" r:id="rId3"/>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0" i="6" l="1"/>
  <c r="F53" i="6" a="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K111" i="2" a="1"/>
  <c r="K112" i="2" a="1"/>
  <c r="K113" i="2" a="1"/>
  <c r="K114" i="2" a="1"/>
  <c r="K115" i="2" a="1"/>
  <c r="K116" i="2" a="1"/>
  <c r="K117" i="2" a="1"/>
  <c r="K118" i="2" a="1"/>
  <c r="K119" i="2" a="1"/>
  <c r="K120" i="2" a="1"/>
  <c r="K121" i="2" a="1"/>
  <c r="K122" i="2" a="1"/>
  <c r="K123" i="2" a="1"/>
  <c r="K124" i="2" a="1"/>
  <c r="K125" i="2" a="1"/>
  <c r="K126" i="2" a="1"/>
  <c r="K127" i="2" a="1"/>
  <c r="K128" i="2" a="1"/>
  <c r="K129" i="2" a="1"/>
  <c r="K130" i="2" a="1"/>
  <c r="K131" i="2" a="1"/>
  <c r="K132" i="2" a="1"/>
  <c r="K133" i="2" a="1"/>
  <c r="K134" i="2" a="1"/>
  <c r="K135" i="2" a="1"/>
  <c r="K136" i="2" a="1"/>
  <c r="K137" i="2" a="1"/>
  <c r="K138" i="2" a="1"/>
  <c r="K139" i="2" a="1"/>
  <c r="K140" i="2" a="1"/>
  <c r="K141" i="2" a="1"/>
  <c r="K142" i="2" a="1"/>
  <c r="K143" i="2" a="1"/>
  <c r="K144" i="2" a="1"/>
  <c r="K145" i="2" a="1"/>
  <c r="K146" i="2" a="1"/>
  <c r="K147" i="2" a="1"/>
  <c r="K148" i="2" a="1"/>
  <c r="K149" i="2" a="1"/>
  <c r="K150" i="2" a="1"/>
  <c r="K151" i="2" a="1"/>
  <c r="K152" i="2" a="1"/>
  <c r="K153" i="2" a="1"/>
  <c r="K154" i="2" a="1"/>
  <c r="K155" i="2" a="1"/>
  <c r="K156" i="2" a="1"/>
  <c r="K157" i="2" a="1"/>
  <c r="K158" i="2" a="1"/>
  <c r="K159" i="2" a="1"/>
  <c r="K160" i="2" a="1"/>
  <c r="K161" i="2" a="1"/>
  <c r="K162" i="2" a="1"/>
  <c r="K163" i="2" a="1"/>
  <c r="K164" i="2" a="1"/>
  <c r="K165" i="2" a="1"/>
  <c r="K166" i="2" a="1"/>
  <c r="K167" i="2" a="1"/>
  <c r="K168" i="2" a="1"/>
  <c r="K169" i="2" a="1"/>
  <c r="K170" i="2" a="1"/>
  <c r="K171" i="2" a="1"/>
  <c r="K172" i="2" a="1"/>
  <c r="K173" i="2" a="1"/>
  <c r="K174" i="2" a="1"/>
  <c r="K175" i="2" a="1"/>
  <c r="K176" i="2" a="1"/>
  <c r="K177" i="2" a="1"/>
  <c r="K178" i="2" a="1"/>
  <c r="K179" i="2" a="1"/>
  <c r="K180" i="2" a="1"/>
  <c r="K181" i="2" a="1"/>
  <c r="K182" i="2" a="1"/>
  <c r="K183" i="2" a="1"/>
  <c r="K184" i="2" a="1"/>
  <c r="K185" i="2" a="1"/>
  <c r="K186" i="2" a="1"/>
  <c r="K187" i="2" a="1"/>
  <c r="K188" i="2" a="1"/>
  <c r="K189" i="2" a="1"/>
  <c r="K190" i="2" a="1"/>
  <c r="K191" i="2" a="1"/>
  <c r="K192" i="2" a="1"/>
  <c r="K193" i="2" a="1"/>
  <c r="K194" i="2" a="1"/>
  <c r="K195" i="2" a="1"/>
  <c r="K196" i="2" a="1"/>
  <c r="K197" i="2" a="1"/>
  <c r="K198" i="2" a="1"/>
  <c r="K199" i="2" a="1"/>
  <c r="K200" i="2" a="1"/>
  <c r="K201" i="2" a="1"/>
  <c r="K202" i="2" a="1"/>
  <c r="K203" i="2" a="1"/>
  <c r="K204" i="2" a="1"/>
  <c r="K205" i="2" a="1"/>
  <c r="K206" i="2" a="1"/>
  <c r="K207" i="2" a="1"/>
  <c r="K208" i="2" a="1"/>
  <c r="K209" i="2" a="1"/>
  <c r="K210" i="2" a="1"/>
  <c r="K211" i="2" a="1"/>
  <c r="K212" i="2" a="1"/>
  <c r="K213" i="2" a="1"/>
  <c r="K214" i="2" a="1"/>
  <c r="K215" i="2" a="1"/>
  <c r="K216" i="2" a="1"/>
  <c r="K217" i="2" a="1"/>
  <c r="K218" i="2" a="1"/>
  <c r="K219" i="2" a="1"/>
  <c r="K220" i="2" a="1"/>
  <c r="K221" i="2" a="1"/>
  <c r="K222" i="2" a="1"/>
  <c r="K223" i="2" a="1"/>
  <c r="K224" i="2" a="1"/>
  <c r="K225" i="2" a="1"/>
  <c r="K226" i="2" a="1"/>
  <c r="K227" i="2" a="1"/>
  <c r="K228" i="2" a="1"/>
  <c r="K229" i="2" a="1"/>
  <c r="K230" i="2" a="1"/>
  <c r="K231" i="2" a="1"/>
  <c r="K232" i="2" a="1"/>
  <c r="K233" i="2" a="1"/>
  <c r="K234" i="2" a="1"/>
  <c r="K235" i="2" a="1"/>
  <c r="K236" i="2" a="1"/>
  <c r="K237" i="2" a="1"/>
  <c r="K238" i="2" a="1"/>
  <c r="K239" i="2" a="1"/>
  <c r="K240" i="2" a="1"/>
  <c r="K241" i="2" a="1"/>
  <c r="K242" i="2" a="1"/>
  <c r="K243" i="2" a="1"/>
  <c r="K244" i="2" a="1"/>
  <c r="K245" i="2" a="1"/>
  <c r="K246" i="2" a="1"/>
  <c r="K247" i="2" a="1"/>
  <c r="K248" i="2" a="1"/>
  <c r="K249" i="2" a="1"/>
  <c r="K250" i="2" a="1"/>
  <c r="K251" i="2" a="1"/>
  <c r="K252" i="2" a="1"/>
  <c r="K253" i="2" a="1"/>
  <c r="K254" i="2" a="1"/>
  <c r="K255" i="2" a="1"/>
  <c r="K256" i="2" a="1"/>
  <c r="K257" i="2" a="1"/>
  <c r="K258" i="2" a="1"/>
  <c r="K259" i="2" a="1"/>
  <c r="K260" i="2" a="1"/>
  <c r="K261" i="2" a="1"/>
  <c r="K262" i="2" a="1"/>
  <c r="K263" i="2" a="1"/>
  <c r="K264" i="2" a="1"/>
  <c r="K265" i="2" a="1"/>
  <c r="K266" i="2" a="1"/>
  <c r="K267" i="2" a="1"/>
  <c r="K268" i="2" a="1"/>
  <c r="K269" i="2" a="1"/>
  <c r="K270" i="2" a="1"/>
  <c r="K271" i="2" a="1"/>
  <c r="K272" i="2" a="1"/>
  <c r="K273" i="2" a="1"/>
  <c r="K274" i="2" a="1"/>
  <c r="K275" i="2" a="1"/>
  <c r="K276" i="2" a="1"/>
  <c r="K277" i="2" a="1"/>
  <c r="K278" i="2" a="1"/>
  <c r="K279" i="2" a="1"/>
  <c r="K280" i="2" a="1"/>
  <c r="K281" i="2" a="1"/>
  <c r="K282" i="2" a="1"/>
  <c r="K283" i="2" a="1"/>
  <c r="K284" i="2" a="1"/>
  <c r="K285" i="2" a="1"/>
  <c r="K286" i="2" a="1"/>
  <c r="K287" i="2" a="1"/>
  <c r="K288" i="2" a="1"/>
  <c r="K289" i="2" a="1"/>
  <c r="K290" i="2" a="1"/>
  <c r="K291" i="2" a="1"/>
  <c r="K292" i="2" a="1"/>
  <c r="K293" i="2" a="1"/>
  <c r="K294" i="2" a="1"/>
  <c r="K295" i="2" a="1"/>
  <c r="K296" i="2" a="1"/>
  <c r="K297" i="2" a="1"/>
  <c r="K298" i="2" a="1"/>
  <c r="K299" i="2" a="1"/>
  <c r="K300" i="2" a="1"/>
  <c r="K301" i="2" a="1"/>
  <c r="K302" i="2" a="1"/>
  <c r="K303" i="2" a="1"/>
  <c r="K304" i="2" a="1"/>
  <c r="K305" i="2" a="1"/>
  <c r="K306" i="2" a="1"/>
  <c r="K307" i="2" a="1"/>
  <c r="K308" i="2" a="1"/>
  <c r="K309" i="2" a="1"/>
  <c r="K310" i="2" a="1"/>
  <c r="K311" i="2" a="1"/>
  <c r="K312" i="2" a="1"/>
  <c r="K313" i="2" a="1"/>
  <c r="K314" i="2" a="1"/>
  <c r="K315" i="2" a="1"/>
  <c r="K316" i="2" a="1"/>
  <c r="K317" i="2" a="1"/>
  <c r="K318" i="2" a="1"/>
  <c r="K319" i="2" a="1"/>
  <c r="K320" i="2" a="1"/>
  <c r="K321" i="2" a="1"/>
  <c r="K322" i="2" a="1"/>
  <c r="K323" i="2" a="1"/>
  <c r="K324" i="2" a="1"/>
  <c r="K325" i="2" a="1"/>
  <c r="K326" i="2" a="1"/>
  <c r="K327" i="2" a="1"/>
  <c r="K328" i="2" a="1"/>
  <c r="K329" i="2" a="1"/>
  <c r="K330" i="2" a="1"/>
  <c r="K331" i="2" a="1"/>
  <c r="K332" i="2" a="1"/>
  <c r="K333" i="2" a="1"/>
  <c r="K334" i="2" a="1"/>
  <c r="K335" i="2" a="1"/>
  <c r="K336" i="2" a="1"/>
  <c r="K337" i="2" a="1"/>
  <c r="K338" i="2" a="1"/>
  <c r="K339" i="2" a="1"/>
  <c r="K340" i="2" a="1"/>
  <c r="K341" i="2" a="1"/>
  <c r="K342" i="2" a="1"/>
  <c r="K343" i="2" a="1"/>
  <c r="K344" i="2" a="1"/>
  <c r="K345" i="2" a="1"/>
  <c r="K346" i="2" a="1"/>
  <c r="K347" i="2" a="1"/>
  <c r="K348" i="2" a="1"/>
  <c r="K349" i="2" a="1"/>
  <c r="K350" i="2" a="1"/>
  <c r="K351" i="2" a="1"/>
  <c r="K352" i="2" a="1"/>
  <c r="K353" i="2" a="1"/>
  <c r="K354" i="2" a="1"/>
  <c r="K355" i="2" a="1"/>
  <c r="K356" i="2" a="1"/>
  <c r="K357" i="2" a="1"/>
  <c r="K358" i="2" a="1"/>
  <c r="K359" i="2" a="1"/>
  <c r="K360" i="2" a="1"/>
  <c r="K361" i="2" a="1"/>
  <c r="K362" i="2" a="1"/>
  <c r="K363" i="2" a="1"/>
  <c r="K364" i="2" a="1"/>
  <c r="K365" i="2" a="1"/>
  <c r="K366" i="2" a="1"/>
  <c r="K367" i="2" a="1"/>
  <c r="K368" i="2" a="1"/>
  <c r="K369" i="2" a="1"/>
  <c r="K370" i="2" a="1"/>
  <c r="K371" i="2" a="1"/>
  <c r="K372" i="2" a="1"/>
  <c r="K373" i="2" a="1"/>
  <c r="K374" i="2" a="1"/>
  <c r="K375" i="2" a="1"/>
  <c r="K376" i="2" a="1"/>
  <c r="K377" i="2" a="1"/>
  <c r="K378" i="2" a="1"/>
  <c r="K379" i="2" a="1"/>
  <c r="K380" i="2" a="1"/>
  <c r="K381" i="2" a="1"/>
  <c r="K382" i="2" a="1"/>
  <c r="K383" i="2" a="1"/>
  <c r="K384" i="2" a="1"/>
  <c r="K385" i="2" a="1"/>
  <c r="K386" i="2" a="1"/>
  <c r="K387" i="2" a="1"/>
  <c r="K388" i="2" a="1"/>
  <c r="K389" i="2" a="1"/>
  <c r="K390" i="2" a="1"/>
  <c r="K391" i="2" a="1"/>
  <c r="K392" i="2" a="1"/>
  <c r="K393" i="2" a="1"/>
  <c r="K394" i="2" a="1"/>
  <c r="K395" i="2" a="1"/>
  <c r="K396" i="2" a="1"/>
  <c r="K397" i="2" a="1"/>
  <c r="K398" i="2" a="1"/>
  <c r="K399" i="2" a="1"/>
  <c r="K400" i="2" a="1"/>
  <c r="K401" i="2" a="1"/>
  <c r="K402" i="2" a="1"/>
  <c r="K403" i="2" a="1"/>
  <c r="K404" i="2" a="1"/>
  <c r="K405" i="2" a="1"/>
  <c r="K406" i="2" a="1"/>
  <c r="K407" i="2" a="1"/>
  <c r="K408" i="2" a="1"/>
  <c r="K409" i="2" a="1"/>
  <c r="K410" i="2" a="1"/>
  <c r="K411" i="2" a="1"/>
  <c r="K412" i="2" a="1"/>
  <c r="K413" i="2" a="1"/>
  <c r="K414" i="2" a="1"/>
  <c r="K415" i="2" a="1"/>
  <c r="K416" i="2" a="1"/>
  <c r="K417" i="2" a="1"/>
  <c r="K418" i="2" a="1"/>
  <c r="K419" i="2" a="1"/>
  <c r="K420" i="2" a="1"/>
  <c r="K421" i="2" a="1"/>
  <c r="K422" i="2" a="1"/>
  <c r="K423" i="2" a="1"/>
  <c r="K424" i="2" a="1"/>
  <c r="K425" i="2" a="1"/>
  <c r="K426" i="2" a="1"/>
  <c r="K427" i="2" a="1"/>
  <c r="K428" i="2" a="1"/>
  <c r="K429" i="2" a="1"/>
  <c r="K430" i="2" a="1"/>
  <c r="K431" i="2" a="1"/>
  <c r="K432" i="2" a="1"/>
  <c r="K433" i="2" a="1"/>
  <c r="K434" i="2" a="1"/>
  <c r="K435" i="2" a="1"/>
  <c r="K436" i="2" a="1"/>
  <c r="K437" i="2" a="1"/>
  <c r="K438" i="2" a="1"/>
  <c r="K439" i="2" a="1"/>
  <c r="K440" i="2" a="1"/>
  <c r="K441" i="2" a="1"/>
  <c r="K442" i="2" a="1"/>
  <c r="K443" i="2" a="1"/>
  <c r="K444" i="2" a="1"/>
  <c r="K445" i="2" a="1"/>
  <c r="K446" i="2" a="1"/>
  <c r="K447" i="2" a="1"/>
  <c r="K448" i="2" a="1"/>
  <c r="K449" i="2" a="1"/>
  <c r="K450" i="2" a="1"/>
  <c r="K451" i="2" a="1"/>
  <c r="K452" i="2" a="1"/>
  <c r="K453" i="2" a="1"/>
  <c r="K454" i="2" a="1"/>
  <c r="K455" i="2" a="1"/>
  <c r="K456" i="2" a="1"/>
  <c r="K457" i="2" a="1"/>
  <c r="K458" i="2" a="1"/>
  <c r="K459" i="2" a="1"/>
  <c r="K460" i="2" a="1"/>
  <c r="K461" i="2" a="1"/>
  <c r="K462" i="2" a="1"/>
  <c r="K463" i="2" a="1"/>
  <c r="K464" i="2" a="1"/>
  <c r="K465" i="2" a="1"/>
  <c r="K466" i="2" a="1"/>
  <c r="K467" i="2" a="1"/>
  <c r="K468" i="2" a="1"/>
  <c r="K469" i="2" a="1"/>
  <c r="K470" i="2" a="1"/>
  <c r="K471" i="2" a="1"/>
  <c r="K472" i="2" a="1"/>
  <c r="K473" i="2" a="1"/>
  <c r="K474" i="2" a="1"/>
  <c r="K475" i="2" a="1"/>
  <c r="K476" i="2" a="1"/>
  <c r="K477" i="2" a="1"/>
  <c r="K478" i="2" a="1"/>
  <c r="K479" i="2" a="1"/>
  <c r="K480" i="2" a="1"/>
  <c r="K481" i="2" a="1"/>
  <c r="K482" i="2" a="1"/>
  <c r="K483" i="2" a="1"/>
  <c r="K484" i="2" a="1"/>
  <c r="K485" i="2" a="1"/>
  <c r="K486" i="2" a="1"/>
  <c r="K487" i="2" a="1"/>
  <c r="K488" i="2" a="1"/>
  <c r="K489" i="2" a="1"/>
  <c r="K490" i="2" a="1"/>
  <c r="K491" i="2" a="1"/>
  <c r="K492" i="2" a="1"/>
  <c r="K493" i="2" a="1"/>
  <c r="K494" i="2" a="1"/>
  <c r="K495" i="2" a="1"/>
  <c r="K496" i="2" a="1"/>
  <c r="K497" i="2" a="1"/>
  <c r="K498" i="2" a="1"/>
  <c r="K499" i="2" a="1"/>
  <c r="K500" i="2" a="1"/>
  <c r="K501" i="2" a="1"/>
  <c r="K502" i="2" a="1"/>
  <c r="K503" i="2" a="1"/>
  <c r="K504" i="2" a="1"/>
  <c r="K505" i="2" a="1"/>
  <c r="K506" i="2" a="1"/>
  <c r="K507" i="2" a="1"/>
  <c r="K508" i="2" a="1"/>
  <c r="K509" i="2" a="1"/>
  <c r="K510" i="2" a="1"/>
  <c r="K511" i="2" a="1"/>
  <c r="K512" i="2" a="1"/>
  <c r="K513" i="2" a="1"/>
  <c r="K514" i="2" a="1"/>
  <c r="K515" i="2" a="1"/>
  <c r="K516" i="2" a="1"/>
  <c r="K517" i="2" a="1"/>
  <c r="K518" i="2" a="1"/>
  <c r="K519" i="2" a="1"/>
  <c r="K520" i="2" a="1"/>
  <c r="K521" i="2" a="1"/>
  <c r="K522" i="2" a="1"/>
  <c r="K523" i="2" a="1"/>
  <c r="K524" i="2" a="1"/>
  <c r="K525" i="2" a="1"/>
  <c r="K526" i="2" a="1"/>
  <c r="K527" i="2" a="1"/>
  <c r="K528" i="2" a="1"/>
  <c r="K529" i="2" a="1"/>
  <c r="K530" i="2" a="1"/>
  <c r="K531" i="2" a="1"/>
  <c r="K532" i="2" a="1"/>
  <c r="K533" i="2" a="1"/>
  <c r="K534" i="2" a="1"/>
  <c r="K535" i="2" a="1"/>
  <c r="K536" i="2" a="1"/>
  <c r="K537" i="2" a="1"/>
  <c r="K538" i="2" a="1"/>
  <c r="K539" i="2" a="1"/>
  <c r="K540" i="2" a="1"/>
  <c r="K541" i="2" a="1"/>
  <c r="K542" i="2" a="1"/>
  <c r="K543" i="2" a="1"/>
  <c r="K544" i="2" a="1"/>
  <c r="K545" i="2" a="1"/>
  <c r="K546" i="2" a="1"/>
  <c r="K547" i="2" a="1"/>
  <c r="K548" i="2" a="1"/>
  <c r="K549" i="2" a="1"/>
  <c r="K550" i="2" a="1"/>
  <c r="K551" i="2" a="1"/>
  <c r="K552" i="2" a="1"/>
  <c r="K553" i="2" a="1"/>
  <c r="K554" i="2" a="1"/>
  <c r="K555" i="2" a="1"/>
  <c r="K556" i="2" a="1"/>
  <c r="K557" i="2" a="1"/>
  <c r="K558" i="2" a="1"/>
  <c r="K559" i="2" a="1"/>
  <c r="K560" i="2" a="1"/>
  <c r="K561" i="2" a="1"/>
  <c r="K562" i="2" a="1"/>
  <c r="K563" i="2" a="1"/>
  <c r="K564" i="2" a="1"/>
  <c r="K565" i="2" a="1"/>
  <c r="K566" i="2" a="1"/>
  <c r="K567" i="2" a="1"/>
  <c r="K568" i="2" a="1"/>
  <c r="K569" i="2" a="1"/>
  <c r="K570" i="2" a="1"/>
  <c r="K571" i="2" a="1"/>
  <c r="K572" i="2" a="1"/>
  <c r="K573" i="2" a="1"/>
  <c r="K574" i="2" a="1"/>
  <c r="K575" i="2" a="1"/>
  <c r="K576" i="2" a="1"/>
  <c r="K577" i="2" a="1"/>
  <c r="K578" i="2" a="1"/>
  <c r="K579" i="2" a="1"/>
  <c r="K580" i="2" a="1"/>
  <c r="K581" i="2" a="1"/>
  <c r="K582" i="2" a="1"/>
  <c r="K583" i="2" a="1"/>
  <c r="K584" i="2" a="1"/>
  <c r="K585" i="2" a="1"/>
  <c r="K586" i="2" a="1"/>
  <c r="K587" i="2" a="1"/>
  <c r="K588" i="2" a="1"/>
  <c r="K589" i="2" a="1"/>
  <c r="K590" i="2" a="1"/>
  <c r="K591" i="2" a="1"/>
  <c r="K592" i="2" a="1"/>
  <c r="K593" i="2" a="1"/>
  <c r="K594" i="2" a="1"/>
  <c r="K595" i="2" a="1"/>
  <c r="K596" i="2" a="1"/>
  <c r="K597" i="2" a="1"/>
  <c r="K598" i="2" a="1"/>
  <c r="K599" i="2" a="1"/>
  <c r="K600" i="2" a="1"/>
  <c r="K601" i="2" a="1"/>
  <c r="K602" i="2" a="1"/>
  <c r="K603" i="2" a="1"/>
  <c r="K604" i="2" a="1"/>
  <c r="K605" i="2" a="1"/>
  <c r="K606" i="2" a="1"/>
  <c r="K607" i="2" a="1"/>
  <c r="K608" i="2" a="1"/>
  <c r="K609" i="2" a="1"/>
  <c r="K610" i="2" a="1"/>
  <c r="K611" i="2" a="1"/>
  <c r="K612" i="2" a="1"/>
  <c r="K613" i="2" a="1"/>
  <c r="K614" i="2" a="1"/>
  <c r="K615" i="2" a="1"/>
  <c r="K616" i="2" a="1"/>
  <c r="K617" i="2" a="1"/>
  <c r="K618" i="2" a="1"/>
  <c r="K619" i="2" a="1"/>
  <c r="K620" i="2" a="1"/>
  <c r="K621" i="2" a="1"/>
  <c r="K622" i="2" a="1"/>
  <c r="K623" i="2" a="1"/>
  <c r="K624" i="2" a="1"/>
  <c r="K625" i="2" a="1"/>
  <c r="K626" i="2" a="1"/>
  <c r="K627" i="2" a="1"/>
  <c r="K628" i="2" a="1"/>
  <c r="K629" i="2" a="1"/>
  <c r="K630" i="2" a="1"/>
  <c r="K631" i="2" a="1"/>
  <c r="K632" i="2" a="1"/>
  <c r="K633" i="2" a="1"/>
  <c r="K634" i="2" a="1"/>
  <c r="K635" i="2" a="1"/>
  <c r="K636" i="2" a="1"/>
  <c r="K637" i="2" a="1"/>
  <c r="K638" i="2" a="1"/>
  <c r="K639" i="2" a="1"/>
  <c r="K640" i="2" a="1"/>
  <c r="K641" i="2" a="1"/>
  <c r="K642" i="2" a="1"/>
  <c r="K643" i="2" a="1"/>
  <c r="K644" i="2" a="1"/>
  <c r="K645" i="2" a="1"/>
  <c r="K646" i="2" a="1"/>
  <c r="K647" i="2" a="1"/>
  <c r="K648" i="2" a="1"/>
  <c r="K649" i="2" a="1"/>
  <c r="K650" i="2" a="1"/>
  <c r="K651" i="2" a="1"/>
  <c r="K652" i="2" a="1"/>
  <c r="K653" i="2" a="1"/>
  <c r="K654" i="2" a="1"/>
  <c r="K655" i="2" a="1"/>
  <c r="K656" i="2" a="1"/>
  <c r="K657" i="2" a="1"/>
  <c r="K658" i="2" a="1"/>
  <c r="K659" i="2" a="1"/>
  <c r="K660" i="2" a="1"/>
  <c r="K661" i="2" a="1"/>
  <c r="K662" i="2" a="1"/>
  <c r="K663" i="2" a="1"/>
  <c r="K664" i="2" a="1"/>
  <c r="K665" i="2" a="1"/>
  <c r="K666" i="2" a="1"/>
  <c r="K667" i="2" a="1"/>
  <c r="K668" i="2" a="1"/>
  <c r="K669" i="2" a="1"/>
  <c r="K670" i="2" a="1"/>
  <c r="K671" i="2" a="1"/>
  <c r="K672" i="2" a="1"/>
  <c r="K673" i="2" a="1"/>
  <c r="K674" i="2" a="1"/>
  <c r="K675" i="2" a="1"/>
  <c r="K676" i="2" a="1"/>
  <c r="K677" i="2" a="1"/>
  <c r="K678" i="2" a="1"/>
  <c r="K679" i="2" a="1"/>
  <c r="K680" i="2" a="1"/>
  <c r="K681" i="2" a="1"/>
  <c r="K682" i="2" a="1"/>
  <c r="K683" i="2" a="1"/>
  <c r="K684" i="2" a="1"/>
  <c r="K685" i="2" a="1"/>
  <c r="K686" i="2" a="1"/>
  <c r="K687" i="2" a="1"/>
  <c r="K688" i="2" a="1"/>
  <c r="K689" i="2" a="1"/>
  <c r="K690" i="2" a="1"/>
  <c r="K691" i="2" a="1"/>
  <c r="K692" i="2" a="1"/>
  <c r="K693" i="2" a="1"/>
  <c r="K694" i="2" a="1"/>
  <c r="K695" i="2" a="1"/>
  <c r="K696" i="2" a="1"/>
  <c r="K697" i="2" a="1"/>
  <c r="K698" i="2" a="1"/>
  <c r="K699" i="2" a="1"/>
  <c r="K700" i="2" a="1"/>
  <c r="K701" i="2" a="1"/>
  <c r="K702" i="2" a="1"/>
  <c r="K703" i="2" a="1"/>
  <c r="K704" i="2" a="1"/>
  <c r="K705" i="2" a="1"/>
  <c r="K706" i="2" a="1"/>
  <c r="K707" i="2" a="1"/>
  <c r="K708" i="2" a="1"/>
  <c r="K709" i="2" a="1"/>
  <c r="K710" i="2" a="1"/>
  <c r="K711" i="2" a="1"/>
  <c r="K712" i="2" a="1"/>
  <c r="K713" i="2" a="1"/>
  <c r="K714" i="2" a="1"/>
  <c r="K715" i="2" a="1"/>
  <c r="K716" i="2" a="1"/>
  <c r="K717" i="2" a="1"/>
  <c r="K718" i="2" a="1"/>
  <c r="K719" i="2" a="1"/>
  <c r="K720" i="2" a="1"/>
  <c r="K721" i="2" a="1"/>
  <c r="K722" i="2" a="1"/>
  <c r="K723" i="2" a="1"/>
  <c r="K724" i="2" a="1"/>
  <c r="K725" i="2" a="1"/>
  <c r="K726" i="2" a="1"/>
  <c r="K727" i="2" a="1"/>
  <c r="K728" i="2" a="1"/>
  <c r="K729" i="2" a="1"/>
  <c r="K730" i="2" a="1"/>
  <c r="K731" i="2" a="1"/>
  <c r="K732" i="2" a="1"/>
  <c r="K733" i="2" a="1"/>
  <c r="K734" i="2" a="1"/>
  <c r="K735" i="2" a="1"/>
  <c r="K736" i="2" a="1"/>
  <c r="K737" i="2" a="1"/>
  <c r="K738" i="2" a="1"/>
  <c r="K739" i="2" a="1"/>
  <c r="K740" i="2" a="1"/>
  <c r="K741" i="2" a="1"/>
  <c r="K742" i="2" a="1"/>
  <c r="K743" i="2" a="1"/>
  <c r="K744" i="2" a="1"/>
  <c r="K745" i="2" a="1"/>
  <c r="K746" i="2" a="1"/>
  <c r="K747" i="2" a="1"/>
  <c r="K748" i="2" a="1"/>
  <c r="K749" i="2" a="1"/>
  <c r="K750" i="2" a="1"/>
  <c r="K751" i="2" a="1"/>
  <c r="K752" i="2" a="1"/>
  <c r="K753" i="2" a="1"/>
  <c r="K754" i="2" a="1"/>
  <c r="K755" i="2" a="1"/>
  <c r="K756" i="2" a="1"/>
  <c r="K757" i="2" a="1"/>
  <c r="K758" i="2" a="1"/>
  <c r="K759" i="2" a="1"/>
  <c r="K760" i="2" a="1"/>
  <c r="K761" i="2" a="1"/>
  <c r="K762" i="2" a="1"/>
  <c r="K763" i="2" a="1"/>
  <c r="K764" i="2" a="1"/>
  <c r="K765" i="2" a="1"/>
  <c r="K766" i="2" a="1"/>
  <c r="K767" i="2" a="1"/>
  <c r="K768" i="2" a="1"/>
  <c r="K769" i="2" a="1"/>
  <c r="K770" i="2" a="1"/>
  <c r="K771" i="2" a="1"/>
  <c r="K772" i="2" a="1"/>
  <c r="K773" i="2" a="1"/>
  <c r="K774" i="2" a="1"/>
  <c r="K775" i="2" a="1"/>
  <c r="K776" i="2" a="1"/>
  <c r="K777" i="2" a="1"/>
  <c r="K778" i="2" a="1"/>
  <c r="K779" i="2" a="1"/>
  <c r="K780" i="2" a="1"/>
  <c r="K781" i="2" a="1"/>
  <c r="K782" i="2" a="1"/>
  <c r="K783" i="2" a="1"/>
  <c r="K784" i="2" a="1"/>
  <c r="K785" i="2" a="1"/>
  <c r="K786" i="2" a="1"/>
  <c r="K787" i="2" a="1"/>
  <c r="K788" i="2" a="1"/>
  <c r="K789" i="2" a="1"/>
  <c r="K790" i="2" a="1"/>
  <c r="K791" i="2" a="1"/>
  <c r="K792" i="2" a="1"/>
  <c r="K793" i="2" a="1"/>
  <c r="K794" i="2" a="1"/>
  <c r="K795" i="2" a="1"/>
  <c r="K796" i="2" a="1"/>
  <c r="K797" i="2" a="1"/>
  <c r="K798" i="2" a="1"/>
  <c r="K799" i="2" a="1"/>
  <c r="K800" i="2" a="1"/>
  <c r="K801" i="2" a="1"/>
  <c r="K802" i="2" a="1"/>
  <c r="K803" i="2" a="1"/>
  <c r="K804" i="2" a="1"/>
  <c r="K805" i="2" a="1"/>
  <c r="K806" i="2" a="1"/>
  <c r="K807" i="2" a="1"/>
  <c r="K808" i="2" a="1"/>
  <c r="K809" i="2" a="1"/>
  <c r="K810" i="2" a="1"/>
  <c r="K811" i="2" a="1"/>
  <c r="K812" i="2" a="1"/>
  <c r="K813" i="2" a="1"/>
  <c r="K814" i="2" a="1"/>
  <c r="K815" i="2" a="1"/>
  <c r="K816" i="2" a="1"/>
  <c r="K817" i="2" a="1"/>
  <c r="K818" i="2" a="1"/>
  <c r="K819" i="2" a="1"/>
  <c r="K820" i="2" a="1"/>
  <c r="K821" i="2" a="1"/>
  <c r="K822" i="2" a="1"/>
  <c r="K823" i="2" a="1"/>
  <c r="K824" i="2" a="1"/>
  <c r="K825" i="2" a="1"/>
  <c r="K826" i="2" a="1"/>
  <c r="K827" i="2" a="1"/>
  <c r="K828" i="2" a="1"/>
  <c r="K829" i="2" a="1"/>
  <c r="K830" i="2" a="1"/>
  <c r="K831" i="2" a="1"/>
  <c r="K832" i="2" a="1"/>
  <c r="K833" i="2" a="1"/>
  <c r="K834" i="2" a="1"/>
  <c r="K835" i="2" a="1"/>
  <c r="K836" i="2" a="1"/>
  <c r="K837" i="2" a="1"/>
  <c r="K838" i="2" a="1"/>
  <c r="K839" i="2" a="1"/>
  <c r="K840" i="2" a="1"/>
  <c r="K841" i="2" a="1"/>
  <c r="K842" i="2" a="1"/>
  <c r="K843" i="2" a="1"/>
  <c r="K844" i="2" a="1"/>
  <c r="K845" i="2" a="1"/>
  <c r="K846" i="2" a="1"/>
  <c r="K847" i="2" a="1"/>
  <c r="K848" i="2" a="1"/>
  <c r="K849" i="2" a="1"/>
  <c r="K850" i="2" a="1"/>
  <c r="K851" i="2" a="1"/>
  <c r="K852" i="2" a="1"/>
  <c r="K853" i="2" a="1"/>
  <c r="K854" i="2" a="1"/>
  <c r="K855" i="2" a="1"/>
  <c r="K856" i="2" a="1"/>
  <c r="K857" i="2" a="1"/>
  <c r="K858" i="2" a="1"/>
  <c r="K859" i="2" a="1"/>
  <c r="K860" i="2" a="1"/>
  <c r="K861" i="2" a="1"/>
  <c r="K862" i="2" a="1"/>
  <c r="K863" i="2" a="1"/>
  <c r="K864" i="2" a="1"/>
  <c r="K865" i="2" a="1"/>
  <c r="K866" i="2" a="1"/>
  <c r="K867" i="2" a="1"/>
  <c r="K868" i="2" a="1"/>
  <c r="K869" i="2" a="1"/>
  <c r="K870" i="2" a="1"/>
  <c r="K871" i="2" a="1"/>
  <c r="K872" i="2" a="1"/>
  <c r="K873" i="2" a="1"/>
  <c r="K874" i="2" a="1"/>
  <c r="K875" i="2" a="1"/>
  <c r="K876" i="2" a="1"/>
  <c r="K877" i="2" a="1"/>
  <c r="K878" i="2" a="1"/>
  <c r="K879" i="2" a="1"/>
  <c r="K880" i="2" a="1"/>
  <c r="K881" i="2" a="1"/>
  <c r="K882" i="2" a="1"/>
  <c r="K883" i="2" a="1"/>
  <c r="K884" i="2" a="1"/>
  <c r="K885" i="2" a="1"/>
  <c r="K886" i="2" a="1"/>
  <c r="K887" i="2" a="1"/>
  <c r="K888" i="2" a="1"/>
  <c r="K889" i="2" a="1"/>
  <c r="K890" i="2" a="1"/>
  <c r="K891" i="2" a="1"/>
  <c r="K892" i="2" a="1"/>
  <c r="K893" i="2" a="1"/>
  <c r="K894" i="2" a="1"/>
  <c r="K895" i="2" a="1"/>
  <c r="K896" i="2" a="1"/>
  <c r="K897" i="2" a="1"/>
  <c r="K898" i="2" a="1"/>
  <c r="K899" i="2" a="1"/>
  <c r="K900" i="2" a="1"/>
  <c r="K901" i="2" a="1"/>
  <c r="K902" i="2" a="1"/>
  <c r="K903" i="2" a="1"/>
  <c r="K904" i="2" a="1"/>
  <c r="K905" i="2" a="1"/>
  <c r="K906" i="2" a="1"/>
  <c r="K907" i="2" a="1"/>
  <c r="K908" i="2" a="1"/>
  <c r="K909" i="2" a="1"/>
  <c r="K910" i="2" a="1"/>
  <c r="K911" i="2" a="1"/>
  <c r="K912" i="2" a="1"/>
  <c r="K913" i="2" a="1"/>
  <c r="K914" i="2" a="1"/>
  <c r="K915" i="2" a="1"/>
  <c r="K916" i="2" a="1"/>
  <c r="K917" i="2" a="1"/>
  <c r="K918" i="2" a="1"/>
  <c r="K919" i="2" a="1"/>
  <c r="K920" i="2" a="1"/>
  <c r="K921" i="2" a="1"/>
  <c r="K922" i="2" a="1"/>
  <c r="K923" i="2" a="1"/>
  <c r="K924" i="2" a="1"/>
  <c r="K925" i="2" a="1"/>
  <c r="K926" i="2" a="1"/>
  <c r="K927" i="2" a="1"/>
  <c r="K928" i="2" a="1"/>
  <c r="K929" i="2" a="1"/>
  <c r="K930" i="2" a="1"/>
  <c r="K931" i="2" a="1"/>
  <c r="K932" i="2" a="1"/>
  <c r="K933" i="2" a="1"/>
  <c r="K934" i="2" a="1"/>
  <c r="K935" i="2" a="1"/>
  <c r="K936" i="2" a="1"/>
  <c r="K937" i="2" a="1"/>
  <c r="K938" i="2" a="1"/>
  <c r="K939" i="2" a="1"/>
  <c r="K940" i="2" a="1"/>
  <c r="K941" i="2" a="1"/>
  <c r="K942" i="2" a="1"/>
  <c r="K943" i="2" a="1"/>
  <c r="K944" i="2" a="1"/>
  <c r="K945" i="2" a="1"/>
  <c r="K946" i="2" a="1"/>
  <c r="K947" i="2" a="1"/>
  <c r="K948" i="2" a="1"/>
  <c r="K949" i="2" a="1"/>
  <c r="K950" i="2" a="1"/>
  <c r="K951" i="2" a="1"/>
  <c r="K952" i="2" a="1"/>
  <c r="K953" i="2" a="1"/>
  <c r="K954" i="2" a="1"/>
  <c r="K955" i="2" a="1"/>
  <c r="K956" i="2" a="1"/>
  <c r="K957" i="2" a="1"/>
  <c r="K958" i="2" a="1"/>
  <c r="K959" i="2" a="1"/>
  <c r="K960" i="2" a="1"/>
  <c r="K961" i="2" a="1"/>
  <c r="K962" i="2" a="1"/>
  <c r="K963" i="2" a="1"/>
  <c r="K964" i="2" a="1"/>
  <c r="K965" i="2" a="1"/>
  <c r="K966" i="2" a="1"/>
  <c r="K967" i="2" a="1"/>
  <c r="K968" i="2" a="1"/>
  <c r="K969" i="2" a="1"/>
  <c r="K970" i="2" a="1"/>
  <c r="K971" i="2" a="1"/>
  <c r="K972" i="2" a="1"/>
  <c r="K973" i="2" a="1"/>
  <c r="K974" i="2" a="1"/>
  <c r="K975" i="2" a="1"/>
  <c r="K976" i="2" a="1"/>
  <c r="K977" i="2" a="1"/>
  <c r="K978" i="2" a="1"/>
  <c r="K979" i="2" a="1"/>
  <c r="K980" i="2" a="1"/>
  <c r="K981" i="2" a="1"/>
  <c r="K982" i="2" a="1"/>
  <c r="K983" i="2" a="1"/>
  <c r="K984" i="2" a="1"/>
  <c r="K985" i="2" a="1"/>
  <c r="K986" i="2" a="1"/>
  <c r="K987" i="2" a="1"/>
  <c r="K988" i="2" a="1"/>
  <c r="K989" i="2" a="1"/>
  <c r="K990" i="2" a="1"/>
  <c r="K991" i="2" a="1"/>
  <c r="K992" i="2" a="1"/>
  <c r="K993" i="2" a="1"/>
  <c r="K994" i="2" a="1"/>
  <c r="K995" i="2" a="1"/>
  <c r="K996" i="2" a="1"/>
  <c r="K997" i="2" a="1"/>
  <c r="K998" i="2" a="1"/>
  <c r="K999" i="2" a="1"/>
  <c r="K1000" i="2" a="1"/>
  <c r="K1001" i="2" a="1"/>
  <c r="K1002" i="2" a="1"/>
  <c r="K1003" i="2" a="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4" i="6" l="1"/>
  <c r="J55" i="6"/>
  <c r="J56" i="6"/>
  <c r="J57" i="6"/>
  <c r="J53" i="6"/>
  <c r="I54" i="6"/>
  <c r="I55" i="6"/>
  <c r="I56" i="6"/>
  <c r="I57" i="6"/>
  <c r="I53"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F4116A-C4CB-4450-9BDD-3E0FFD2DD7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6B7B9A7-FE68-405A-BA52-BEFAE4BF8466}"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3F38C8BB-03CD-45B0-B7BC-19C07FEB61D6}"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<sst xmlns="http://schemas.openxmlformats.org/spreadsheetml/2006/main" count="3128" uniqueCount="1075">
  <si>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</si>
  <si>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</si>
  <si>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</si>
  <si>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</si>
  <si>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</si>
  <si>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</si>
  <si>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</si>
  <si>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</si>
  <si>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</si>
  <si>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</si>
  <si>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</si>
  <si>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</si>
  <si>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</si>
  <si>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</si>
  <si>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</si>
  <si>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</si>
  <si>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</si>
  <si>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</si>
  <si>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</si>
  <si>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</si>
  <si>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</si>
  <si>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</si>
  <si>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</si>
  <si>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</si>
  <si>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</si>
  <si>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</si>
  <si>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</si>
  <si>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</si>
  <si>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</si>
  <si>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</si>
  <si>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</si>
  <si>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</si>
  <si>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</si>
  <si>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</si>
  <si>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</si>
  <si>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</si>
  <si>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</si>
  <si>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</si>
  <si>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</si>
  <si>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</si>
  <si>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</si>
  <si>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</si>
  <si>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</si>
  <si>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</si>
  <si>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</si>
  <si>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</si>
  <si>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</si>
  <si>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</si>
  <si>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</si>
  <si>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</si>
  <si>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</si>
  <si>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</si>
  <si>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</si>
  <si>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</si>
  <si>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</si>
  <si>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</si>
  <si>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</si>
  <si>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</si>
  <si>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</si>
  <si>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</si>
  <si>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</si>
  <si>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</si>
  <si>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</si>
  <si>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</si>
  <si>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</si>
  <si>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</si>
  <si>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</si>
  <si>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</si>
  <si>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</si>
  <si>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</si>
  <si>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</si>
  <si>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</si>
  <si>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</si>
  <si>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</si>
  <si>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</si>
  <si>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</si>
  <si>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</si>
  <si>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</si>
  <si>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</si>
  <si>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</si>
  <si>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</si>
  <si>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</si>
  <si>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</si>
  <si>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</si>
  <si>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</si>
  <si>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</si>
  <si>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</si>
  <si>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</si>
  <si>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</si>
  <si>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</si>
  <si>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</si>
  <si>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</si>
  <si>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</si>
  <si>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</si>
  <si>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</si>
  <si>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</si>
  <si>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</si>
  <si>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</si>
  <si>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</si>
  <si>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</si>
  <si>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</si>
  <si>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</si>
  <si>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</si>
  <si>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</si>
  <si>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</si>
  <si>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</si>
  <si>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</si>
  <si>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</si>
  <si>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</si>
  <si>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</si>
  <si>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</si>
  <si>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</si>
  <si>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</si>
  <si>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</si>
  <si>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</si>
  <si>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</si>
  <si>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</si>
  <si>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</si>
  <si>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</si>
  <si>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</si>
  <si>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</si>
  <si>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</si>
  <si>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</si>
  <si>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</si>
  <si>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</si>
  <si>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</si>
  <si>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</si>
  <si>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</si>
  <si>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</si>
  <si>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</si>
  <si>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</si>
  <si>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</si>
  <si>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</si>
  <si>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</si>
  <si>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</si>
  <si>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</si>
  <si>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</si>
  <si>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</si>
  <si>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</si>
  <si>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</si>
  <si>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</si>
  <si>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</si>
  <si>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</si>
  <si>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</si>
  <si>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</si>
  <si>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</si>
  <si>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</si>
  <si>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</si>
  <si>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</si>
  <si>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</si>
  <si>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</si>
  <si>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</si>
  <si>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</si>
  <si>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</si>
  <si>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</si>
  <si>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</si>
  <si>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</si>
  <si>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</si>
  <si>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</si>
  <si>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</si>
  <si>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</si>
  <si>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</si>
  <si>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</si>
  <si>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</si>
  <si>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</si>
  <si>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</si>
  <si>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</si>
  <si>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</si>
  <si>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</si>
  <si>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</si>
  <si>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</si>
  <si>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</si>
  <si>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</si>
  <si>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</si>
  <si>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</si>
  <si>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</si>
  <si>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</si>
  <si>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</si>
  <si>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</si>
  <si>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</si>
  <si>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</si>
  <si>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</si>
  <si>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</si>
  <si>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</si>
  <si>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</si>
  <si>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</si>
  <si>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</si>
  <si>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</si>
  <si>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</si>
  <si>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</si>
  <si>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</si>
  <si>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</si>
  <si>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</si>
  <si>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</si>
  <si>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</si>
  <si>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</si>
  <si>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</si>
  <si>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</si>
  <si>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</si>
  <si>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</si>
  <si>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</si>
  <si>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</si>
  <si>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</si>
  <si>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</si>
  <si>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</si>
  <si>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</si>
  <si>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</si>
  <si>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</si>
  <si>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</si>
  <si>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</si>
  <si>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</si>
  <si>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</si>
  <si>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</si>
  <si>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</si>
  <si>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</si>
  <si>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</si>
  <si>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</si>
  <si>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</si>
  <si>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</si>
  <si>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</si>
  <si>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</si>
  <si>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</si>
  <si>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</si>
  <si>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</si>
  <si>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</si>
  <si>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</si>
  <si>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</si>
  <si>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</si>
  <si>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</si>
  <si>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</si>
  <si>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</si>
  <si>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</si>
  <si>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</si>
  <si>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</si>
  <si>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</si>
  <si>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</si>
  <si>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</si>
  <si>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</si>
  <si>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</si>
  <si>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</si>
  <si>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</si>
  <si>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</si>
  <si>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</si>
  <si>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</si>
  <si>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</si>
  <si>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</si>
  <si>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</si>
  <si>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</si>
  <si>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</si>
  <si>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</si>
  <si>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</si>
  <si>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</si>
  <si>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</si>
  <si>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</si>
  <si>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</si>
  <si>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</si>
  <si>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</si>
  <si>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</si>
  <si>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</si>
  <si>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</si>
  <si>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</si>
  <si>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</si>
  <si>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</si>
  <si>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</si>
  <si>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</si>
  <si>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</si>
  <si>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</si>
  <si>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</si>
  <si>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</si>
  <si>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</si>
  <si>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</si>
  <si>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</si>
  <si>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</si>
  <si>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</si>
  <si>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</si>
  <si>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</si>
  <si>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</si>
  <si>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</si>
  <si>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</si>
  <si>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</si>
  <si>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</si>
  <si>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</si>
  <si>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</si>
  <si>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</si>
  <si>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</si>
  <si>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</si>
  <si>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</si>
  <si>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</si>
  <si>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</si>
  <si>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</si>
  <si>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</si>
  <si>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</si>
  <si>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</si>
  <si>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</si>
  <si>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</si>
  <si>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</si>
  <si>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</si>
  <si>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</si>
  <si>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</si>
  <si>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</si>
  <si>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</si>
  <si>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</si>
  <si>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</si>
  <si>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</si>
  <si>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</si>
  <si>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</si>
  <si>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</si>
  <si>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</si>
  <si>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</si>
  <si>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</si>
  <si>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</si>
  <si>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</si>
  <si>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</si>
  <si>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</si>
  <si>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</si>
  <si>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</si>
  <si>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</si>
  <si>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</si>
  <si>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</si>
  <si>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</si>
  <si>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</si>
  <si>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</si>
  <si>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</si>
  <si>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</si>
  <si>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</si>
  <si>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</si>
  <si>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</si>
  <si>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</si>
  <si>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</si>
  <si>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</si>
  <si>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</si>
  <si>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</si>
  <si>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</si>
  <si>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</si>
  <si>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</si>
  <si>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</si>
  <si>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</si>
  <si>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</si>
  <si>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</si>
  <si>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</si>
  <si>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</si>
  <si>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</si>
  <si>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</si>
  <si>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</si>
  <si>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</si>
  <si>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</si>
  <si>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</si>
  <si>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</si>
  <si>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</si>
  <si>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</si>
  <si>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</si>
  <si>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</si>
  <si>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</si>
  <si>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</si>
  <si>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</si>
  <si>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</si>
  <si>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</si>
  <si>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</si>
  <si>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</si>
  <si>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</si>
  <si>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</si>
  <si>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</si>
  <si>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</si>
  <si>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</si>
  <si>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</si>
  <si>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</si>
  <si>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</si>
  <si>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</si>
  <si>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</si>
  <si>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</si>
  <si>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</si>
  <si>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</si>
  <si>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</si>
  <si>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</si>
  <si>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</si>
  <si>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</si>
  <si>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</si>
  <si>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</si>
  <si>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</si>
  <si>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</si>
  <si>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</si>
  <si>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</si>
  <si>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</si>
  <si>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</si>
  <si>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</si>
  <si>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</si>
  <si>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</si>
  <si>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</si>
  <si>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</si>
  <si>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</si>
  <si>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</si>
  <si>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</si>
  <si>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</si>
  <si>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</si>
  <si>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</si>
  <si>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</si>
  <si>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</si>
  <si>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</si>
  <si>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</si>
  <si>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</si>
  <si>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</si>
  <si>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</si>
  <si>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</si>
  <si>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</si>
  <si>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</si>
  <si>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</si>
  <si>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</si>
  <si>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</si>
  <si>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</si>
  <si>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</si>
  <si>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</si>
  <si>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</si>
  <si>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</si>
  <si>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</si>
  <si>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</si>
  <si>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</si>
  <si>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</si>
  <si>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</si>
  <si>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</si>
  <si>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</si>
  <si>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</si>
  <si>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</si>
  <si>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</si>
  <si>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</si>
  <si>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</si>
  <si>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</si>
  <si>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</si>
  <si>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</si>
  <si>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</si>
  <si>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</si>
  <si>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</si>
  <si>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</si>
  <si>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</si>
  <si>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</si>
  <si>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</si>
  <si>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</si>
  <si>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</si>
  <si>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</si>
  <si>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</si>
  <si>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</si>
  <si>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</si>
  <si>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</si>
  <si>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</si>
  <si>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</si>
  <si>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</si>
  <si>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</si>
  <si>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</si>
  <si>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</si>
  <si>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</si>
  <si>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</si>
  <si>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</si>
  <si>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</si>
  <si>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</si>
  <si>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</si>
  <si>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</si>
  <si>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</si>
  <si>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</si>
  <si>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</si>
  <si>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</si>
  <si>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</si>
  <si>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</si>
  <si>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</si>
  <si>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</si>
  <si>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</si>
  <si>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</si>
  <si>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</si>
  <si>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</si>
  <si>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</si>
  <si>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</si>
  <si>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</si>
  <si>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</si>
  <si>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</si>
  <si>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</si>
  <si>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</si>
  <si>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</si>
  <si>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</si>
  <si>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</si>
  <si>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</si>
  <si>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</si>
  <si>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</si>
  <si>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</si>
  <si>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</si>
  <si>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</si>
  <si>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</si>
  <si>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</si>
  <si>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</si>
  <si>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</si>
  <si>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</si>
  <si>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</si>
  <si>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</si>
  <si>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</si>
  <si>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</si>
  <si>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</si>
  <si>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</si>
  <si>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</si>
  <si>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</si>
  <si>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</si>
  <si>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</si>
  <si>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</si>
  <si>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</si>
  <si>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</si>
  <si>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</si>
  <si>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</si>
  <si>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</si>
  <si>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</si>
  <si>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</si>
  <si>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</si>
  <si>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</si>
  <si>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</si>
  <si>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</si>
  <si>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</si>
  <si>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</si>
  <si>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</si>
  <si>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</si>
  <si>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</si>
  <si>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</si>
  <si>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</si>
  <si>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</si>
  <si>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</si>
  <si>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</si>
  <si>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</si>
  <si>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</si>
  <si>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</si>
  <si>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</si>
  <si>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</si>
  <si>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</si>
  <si>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</si>
  <si>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</si>
  <si>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</si>
  <si>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</si>
  <si>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</si>
  <si>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</si>
  <si>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</si>
  <si>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</si>
  <si>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</si>
  <si>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</si>
  <si>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</si>
  <si>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</si>
  <si>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</si>
  <si>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</si>
  <si>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</si>
  <si>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</si>
  <si>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</si>
  <si>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</si>
  <si>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</si>
  <si>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</si>
  <si>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</si>
  <si>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</si>
  <si>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</si>
  <si>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</si>
  <si>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</si>
  <si>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</si>
  <si>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</si>
  <si>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</si>
  <si>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</si>
  <si>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</si>
  <si>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</si>
  <si>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</si>
  <si>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</si>
  <si>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</si>
  <si>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</si>
  <si>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</si>
  <si>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</si>
  <si>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</si>
  <si>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</si>
  <si>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</si>
  <si>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</si>
  <si>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</si>
  <si>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</si>
  <si>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</si>
  <si>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</si>
  <si>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</si>
  <si>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</si>
  <si>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</si>
  <si>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</si>
  <si>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</si>
  <si>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</si>
  <si>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</si>
  <si>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</si>
  <si>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</si>
  <si>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</si>
  <si>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</si>
  <si>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</si>
  <si>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</si>
  <si>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</si>
  <si>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</si>
  <si>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</si>
  <si>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</si>
  <si>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</si>
  <si>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</si>
  <si>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</si>
  <si>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</si>
  <si>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</si>
  <si>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</si>
  <si>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</si>
  <si>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</si>
  <si>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</si>
  <si>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</si>
  <si>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</si>
  <si>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</si>
  <si>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</si>
  <si>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</si>
  <si>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</si>
  <si>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</si>
  <si>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</si>
  <si>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</si>
  <si>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</si>
  <si>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</si>
  <si>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</si>
  <si>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</si>
  <si>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</si>
  <si>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</si>
  <si>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</si>
  <si>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</si>
  <si>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</si>
  <si>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</si>
  <si>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</si>
  <si>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</si>
  <si>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</si>
  <si>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</si>
  <si>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</si>
  <si>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</si>
  <si>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</si>
  <si>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</si>
  <si>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</si>
  <si>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</si>
  <si>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</si>
  <si>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</si>
  <si>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</si>
  <si>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</si>
  <si>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</si>
  <si>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</si>
  <si>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</si>
  <si>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</si>
  <si>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</si>
  <si>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</si>
  <si>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</si>
  <si>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</si>
  <si>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</si>
  <si>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</si>
  <si>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</si>
  <si>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</si>
  <si>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</si>
  <si>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</si>
  <si>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</si>
  <si>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</si>
  <si>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</si>
  <si>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</si>
  <si>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</si>
  <si>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</si>
  <si>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</si>
  <si>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</si>
  <si>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</si>
  <si>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</si>
  <si>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</si>
  <si>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</si>
  <si>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</si>
  <si>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</si>
  <si>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</si>
  <si>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</si>
  <si>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</si>
  <si>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</si>
  <si>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</si>
  <si>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</si>
  <si>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</si>
  <si>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</si>
  <si>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</si>
  <si>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</si>
  <si>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</si>
  <si>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</si>
  <si>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</si>
  <si>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</si>
  <si>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</si>
  <si>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</si>
  <si>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</si>
  <si>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</si>
  <si>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</si>
  <si>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</si>
  <si>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</si>
  <si>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</si>
  <si>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</si>
  <si>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</si>
  <si>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</si>
  <si>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</si>
  <si>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</si>
  <si>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</si>
  <si>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</si>
  <si>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</si>
  <si>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</si>
  <si>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</si>
  <si>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</si>
  <si>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</si>
  <si>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</si>
  <si>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</si>
  <si>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</si>
  <si>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</si>
  <si>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</si>
  <si>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</si>
  <si>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</si>
  <si>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</si>
  <si>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</si>
  <si>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</si>
  <si>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</si>
  <si>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</si>
  <si>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</si>
  <si>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</si>
  <si>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</si>
  <si>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</si>
  <si>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</si>
  <si>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</si>
  <si>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</si>
  <si>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</si>
  <si>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</si>
  <si>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</si>
  <si>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</si>
  <si>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</si>
  <si>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</si>
  <si>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</si>
  <si>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</si>
  <si>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</si>
  <si>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</si>
  <si>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</si>
  <si>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</si>
  <si>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</si>
  <si>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</si>
  <si>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</si>
  <si>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</si>
  <si>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</si>
  <si>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</si>
  <si>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</si>
  <si>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</si>
  <si>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</si>
  <si>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</si>
  <si>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</si>
  <si>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</si>
  <si>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</si>
  <si>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</si>
  <si>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</si>
  <si>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</si>
  <si>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</si>
  <si>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</si>
  <si>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</si>
  <si>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</si>
  <si>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</si>
  <si>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</si>
  <si>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</si>
  <si>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</si>
  <si>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</si>
  <si>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</si>
  <si>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</si>
  <si>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</si>
  <si>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</si>
  <si>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</si>
  <si>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</si>
  <si>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</si>
  <si>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</si>
  <si>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</si>
  <si>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</si>
  <si>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</si>
  <si>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</si>
  <si>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</si>
  <si>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</si>
  <si>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</si>
  <si>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</si>
  <si>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</si>
  <si>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</si>
  <si>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</si>
  <si>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</si>
  <si>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</si>
  <si>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</si>
  <si>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</si>
  <si>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</si>
  <si>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</si>
  <si>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</si>
  <si>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</si>
  <si>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</si>
  <si>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</si>
  <si>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</si>
  <si>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</si>
  <si>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</si>
  <si>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</si>
  <si>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</si>
  <si>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</si>
  <si>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</si>
  <si>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</si>
  <si>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</si>
  <si>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</si>
  <si>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</si>
  <si>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</si>
  <si>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</si>
  <si>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</si>
  <si>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</si>
  <si>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</si>
  <si>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</si>
  <si>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</si>
  <si>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</si>
  <si>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</si>
  <si>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</si>
  <si>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</si>
  <si>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</si>
  <si>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</si>
  <si>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</si>
  <si>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</si>
  <si>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</si>
  <si>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</si>
  <si>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</si>
  <si>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</si>
  <si>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</si>
  <si>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</si>
  <si>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</si>
  <si>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</si>
  <si>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</si>
  <si>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</si>
  <si>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</si>
  <si>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</si>
  <si>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</si>
  <si>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</si>
  <si>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</si>
  <si>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</si>
  <si>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</si>
  <si>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</si>
  <si>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</si>
  <si>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</si>
  <si>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</si>
  <si>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</si>
  <si>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</si>
  <si>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</si>
  <si>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</si>
  <si>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</si>
  <si>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</si>
  <si>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</si>
  <si>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</si>
  <si>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</si>
  <si>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</si>
  <si>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</si>
  <si>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</si>
  <si>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</si>
  <si>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</si>
  <si>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</si>
  <si>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</si>
  <si>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</si>
  <si>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</si>
  <si>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</si>
  <si>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</si>
  <si>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</si>
  <si>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</si>
  <si>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</si>
  <si>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</si>
  <si>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</si>
  <si>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</si>
  <si>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</si>
  <si>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</si>
  <si>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</si>
  <si>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</si>
  <si>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</si>
  <si>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</si>
  <si>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</si>
  <si>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</si>
  <si>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</si>
  <si>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</si>
  <si>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</si>
  <si>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</si>
  <si>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</si>
  <si>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</si>
  <si>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</si>
  <si>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</si>
  <si>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</si>
  <si>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</si>
  <si>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</si>
  <si>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</si>
  <si>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</si>
  <si>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</si>
  <si>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</si>
  <si>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</si>
  <si>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</si>
  <si>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</si>
  <si>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</si>
  <si>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</si>
  <si>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</si>
  <si>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</si>
  <si>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</si>
  <si>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</si>
  <si>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</si>
  <si>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</si>
  <si>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</si>
  <si>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</si>
  <si>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</si>
  <si>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</si>
  <si>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</si>
  <si>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</si>
  <si>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</si>
  <si>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</si>
  <si>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</si>
  <si>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</si>
  <si>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</si>
  <si>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</si>
  <si>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</si>
  <si>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</si>
  <si>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</si>
  <si>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</si>
  <si>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</si>
  <si>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</si>
  <si>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</si>
  <si>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</si>
  <si>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</si>
  <si>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</si>
  <si>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</si>
  <si>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</si>
  <si>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</si>
  <si>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</si>
  <si>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</si>
  <si>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</si>
  <si>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</si>
  <si>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</si>
  <si>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</si>
  <si>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</si>
  <si>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</si>
  <si>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</si>
  <si>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</si>
  <si>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</si>
  <si>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</si>
  <si>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</si>
  <si>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</si>
  <si>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</si>
  <si>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</si>
  <si>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</si>
  <si>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</si>
  <si>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</si>
  <si>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</si>
  <si>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</si>
  <si>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</si>
  <si>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</si>
  <si>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</si>
  <si>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</si>
  <si>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</si>
  <si>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</si>
  <si>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</si>
  <si>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</si>
  <si>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</si>
  <si>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</si>
  <si>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</si>
  <si>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</si>
  <si>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</si>
  <si>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</si>
  <si>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</si>
  <si>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</si>
  <si>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</si>
  <si>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</si>
  <si>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</si>
  <si>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</si>
  <si>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</si>
  <si>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</si>
  <si>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</si>
  <si>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</si>
  <si>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</si>
  <si>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</si>
  <si>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</si>
  <si>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</si>
  <si>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</si>
  <si>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</si>
  <si>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</si>
  <si>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</si>
  <si>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</si>
  <si>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</si>
  <si>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</si>
  <si>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</si>
  <si>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</si>
  <si>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</si>
  <si>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</si>
  <si>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</si>
  <si>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</si>
  <si>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</si>
  <si>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</si>
  <si>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</si>
  <si>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</si>
  <si>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</si>
  <si>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</si>
  <si>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</si>
  <si>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</si>
  <si>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</si>
  <si>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</si>
  <si>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</si>
  <si>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</si>
  <si>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</si>
  <si>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</si>
  <si>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</si>
  <si>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</si>
  <si>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</si>
  <si>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</si>
  <si>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</si>
  <si>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</si>
  <si>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</si>
  <si>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</si>
  <si>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</si>
  <si>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</si>
  <si>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</si>
  <si>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</si>
  <si>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</si>
  <si>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</si>
  <si>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</si>
  <si>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</si>
  <si>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</si>
  <si>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</si>
  <si>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</si>
  <si>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</si>
  <si>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</si>
  <si>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</si>
  <si>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</si>
  <si>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</si>
  <si>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</si>
  <si>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</si>
  <si>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</si>
  <si>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</si>
  <si>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</si>
  <si>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</si>
  <si>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</si>
  <si>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</si>
  <si>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</si>
  <si>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</si>
  <si>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</si>
  <si>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</si>
  <si>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</si>
  <si>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</si>
  <si>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</si>
  <si>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</si>
  <si>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</si>
  <si>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</si>
  <si>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</si>
  <si>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</si>
  <si>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</si>
  <si>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</si>
  <si>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</si>
  <si>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</si>
  <si>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</si>
  <si>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</si>
  <si>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</si>
  <si>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</si>
  <si>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</si>
  <si>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</si>
  <si>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</si>
  <si>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</si>
  <si>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</si>
  <si>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</si>
  <si>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</si>
  <si>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</si>
  <si>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</si>
  <si>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</si>
  <si>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</si>
  <si>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</si>
  <si>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</si>
  <si>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</si>
  <si>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</si>
  <si>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</si>
  <si>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</si>
  <si>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</si>
  <si>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</si>
  <si>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</si>
  <si>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</si>
  <si>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</si>
  <si>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</si>
  <si>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</si>
  <si>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</si>
  <si>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</si>
  <si>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</si>
  <si>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</si>
  <si>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</si>
  <si>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</si>
  <si>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</si>
  <si>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</si>
  <si>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</si>
  <si>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</si>
  <si>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</si>
  <si>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Sel.Amount</t>
  </si>
  <si>
    <t>Selected rep</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</si>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</sst>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_-[$$-409]* #,##0.00_ ;_-[$$-409]* \-#,##0.00\ ;_-[$$-409]* &quot;-&quot;??_ ;_-@_ "/>
    <numFmt numFmtId="166" formatCode="\$#,###.0,&quot;k&quot;"/>
    <numFmt numFmtId="167" formatCode="&quot;₹&quot;\ #,##0;#,##0\ \-&quot;₹&quot;;&quot;₹&quot;\ #,##0"/>
  </numFmts>
  <fonts count="7" x14ac:knownFonts="1">
    <font>
      <sz val="11"/>
      <color theme="1"/>
      <name val="Sylfaen"/>
      <family val="2"/>
      <scheme val="minor"/>
    </font>
    <font>
      <b/>
      <sz val="11"/>
      <color theme="1"/>
      <name val="Sylfaen"/>
      <family val="2"/>
      <scheme val="minor"/>
    </font>
    <font>
      <sz val="8"/>
      <name val="Sylfaen"/>
      <family val="2"/>
      <scheme val="minor"/>
    </font>
    <font>
      <sz val="18"/>
      <color theme="1"/>
      <name val="Aptos ExtraBold"/>
      <family val="2"/>
    </font>
    <font>
      <sz val="11"/>
      <color theme="1"/>
      <name val="Aptos Narrow"/>
      <family val="2"/>
    </font>
    <font>
      <sz val="11"/>
      <color theme="1"/>
      <name val="Aptos"/>
      <family val="2"/>
    </font>
    <font>
      <sz val="11"/>
      <color theme="0"/>
      <name val="Sylfaen"/>
      <family val="1"/>
      <scheme val="minor"/>
    </font>
  </fonts>
  <fills count="5">
    <fill>
      <patternFill patternType="none"/>
    </fill>
    <fill>
      <patternFill patternType="gray125"/>
    </fill>
    <fill>
      <patternFill patternType="solid">
        <fgColor theme="7"/>
        <bgColor indexed="64"/>
      </patternFill>
    </fill>
    <fill>
      <patternFill patternType="solid">
        <fgColor theme="8" tint="-0.249977111117893"/>
        <bgColor indexed="64"/>
      </patternFill>
    </fill>
    <fill>
      <patternFill patternType="solid">
        <fgColor rgb="FFCEE0D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 fontId="0" fillId="0" borderId="0" xfId="0" applyNumberFormat="1"/>
    <xf numFmtId="0" fontId="0" fillId="0" borderId="0" xfId="0" pivotButton="1"/>
    <xf numFmtId="165" fontId="0" fillId="0" borderId="0" xfId="0" applyNumberFormat="1"/>
    <xf numFmtId="0" fontId="0" fillId="0" borderId="0" xfId="0" applyAlignment="1">
      <alignment horizontal="left"/>
    </xf>
    <xf numFmtId="166" fontId="0" fillId="0" borderId="0" xfId="0" applyNumberFormat="1"/>
    <xf numFmtId="0" fontId="0" fillId="3" borderId="0" xfId="0" applyFill="1" applyAlignment="1">
      <alignment horizontal="left"/>
    </xf>
    <xf numFmtId="167" fontId="0" fillId="0" borderId="0" xfId="0" applyNumberFormat="1"/>
    <xf numFmtId="0" fontId="6" fillId="4" borderId="0" xfId="0" applyFont="1" applyFill="1" applyAlignment="1">
      <alignment vertical="top"/>
    </xf>
    <xf numFmtId="0" fontId="0" fillId="4" borderId="0" xfId="0" applyFill="1" applyAlignment="1">
      <alignment vertical="top"/>
    </xf>
    <xf numFmtId="0" fontId="0" fillId="4" borderId="0" xfId="0" applyFill="1"/>
    <xf numFmtId="0" fontId="5" fillId="4" borderId="0" xfId="0" applyFont="1" applyFill="1"/>
    <xf numFmtId="0" fontId="4" fillId="4" borderId="0" xfId="0" applyFont="1" applyFill="1"/>
  </cellXfs>
  <cellStyles count="1">
    <cellStyle name="Normal" xfId="0" builtinId="0"/>
  </cellStyles>
  <dxfs count="27">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Sylfaen"/>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5" formatCode="_-[$$-409]* #,##0.00_ ;_-[$$-409]* \-#,##0.00\ ;_-[$$-409]* &quot;-&quot;??_ ;_-@_ "/>
    </dxf>
    <dxf>
      <fill>
        <patternFill>
          <bgColor theme="8" tint="-0.249977111117893"/>
        </patternFill>
      </fill>
    </dxf>
    <dxf>
      <fill>
        <patternFill patternType="solid">
          <bgColor theme="8" tint="-0.249977111117893"/>
        </patternFill>
      </fill>
    </dxf>
    <dxf>
      <numFmt numFmtId="165" formatCode="_-[$$-409]* #,##0.00_ ;_-[$$-409]* \-#,##0.00\ ;_-[$$-409]* &quot;-&quot;??_ ;_-@_ "/>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5" defaultTableStyle="TableStyleMedium2" defaultPivotStyle="PivotStyleLight16">
    <tableStyle name="Slicer Style 1" pivot="0" table="0" count="1" xr9:uid="{25BABDA2-DB3D-41F6-98D0-3EE7CBB0176F}">
      <tableStyleElement type="wholeTable" dxfId="26"/>
    </tableStyle>
    <tableStyle name="SlicerStyleDark1 2" pivot="0" table="0" count="10" xr9:uid="{36C9A65C-B842-4101-A659-7F2FD39141F6}">
      <tableStyleElement type="wholeTable" dxfId="25"/>
      <tableStyleElement type="headerRow" dxfId="24"/>
    </tableStyle>
    <tableStyle name="SlicerStyleDark1 3" pivot="0" table="0" count="10" xr9:uid="{1E8CAB2E-F8A5-4EB5-81A5-BAB1E878FBCE}">
      <tableStyleElement type="wholeTable" dxfId="23"/>
      <tableStyleElement type="headerRow" dxfId="22"/>
    </tableStyle>
    <tableStyle name="SlicerStyleDark5 2" pivot="0" table="0" count="10" xr9:uid="{24D592FB-1564-47F2-9498-9BD44B926B2B}">
      <tableStyleElement type="wholeTable" dxfId="21"/>
      <tableStyleElement type="headerRow" dxfId="20"/>
    </tableStyle>
    <tableStyle name="SlicerStyleDark5 3" pivot="0" table="0" count="10" xr9:uid="{A043301F-3D08-4370-B9B5-34F25B8DC297}">
      <tableStyleElement type="wholeTable" dxfId="19"/>
      <tableStyleElement type="headerRow" dxfId="18"/>
    </tableStyle>
  </tableStyles>
  <colors>
    <mruColors>
      <color rgb="FFCEE0D9"/>
      <color rgb="FF9EC2B4"/>
      <color rgb="FF7EAE9C"/>
      <color rgb="FF7A8FDC"/>
      <color rgb="FF849CE8"/>
      <color rgb="FF91B9AA"/>
      <color rgb="FF7C8FD6"/>
      <color rgb="FF5671D2"/>
      <color rgb="FF7FA584"/>
      <color rgb="FFB3BFEB"/>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2499465926084170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4" tint="0.7999816888943144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4" tint="0.7999816888943144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1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22/10/relationships/richValueRel" Target="richData/richValueRel.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[call_centre_performance_dashboard.xlsx]pivots!Monthly trend</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1">
                    <a:lumMod val="50000"/>
                  </a:schemeClr>
                </a:solidFill>
              </a:rPr>
              <a:t>Call</a:t>
            </a:r>
            <a:r>
              <a:rPr lang="en-IN" sz="1800" b="1" baseline="0">
                <a:solidFill>
                  <a:schemeClr val="accent1">
                    <a:lumMod val="50000"/>
                  </a:schemeClr>
                </a:solidFill>
              </a:rPr>
              <a:t> Volume Over the Year</a:t>
            </a:r>
            <a:endParaRPr lang="en-IN" sz="1800" b="1">
              <a:solidFill>
                <a:schemeClr val="accent1">
                  <a:lumMod val="50000"/>
                </a:schemeClr>
              </a:solidFill>
            </a:endParaRPr>
          </a:p>
        </c:rich>
      </c:tx>
      <c:layout>
        <c:manualLayout>
          <c:xMode val="edge"/>
          <c:yMode val="edge"/>
          <c:x val="3.66567212426454E-2"/>
          <c:y val="5.142127180595960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lumMod val="75000"/>
                </a:schemeClr>
              </a:gs>
              <a:gs pos="0">
                <a:schemeClr val="accent1">
                  <a:lumMod val="20000"/>
                  <a:lumOff val="8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lumMod val="75000"/>
              </a:schemeClr>
            </a:solidFill>
            <a:round/>
          </a:ln>
          <a:effectLst/>
        </c:spPr>
        <c:marker>
          <c:symbol val="circle"/>
          <c:size val="7"/>
          <c:spPr>
            <a:solidFill>
              <a:schemeClr val="accent1">
                <a:lumMod val="50000"/>
              </a:schemeClr>
            </a:solidFill>
            <a:ln w="1587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755034989534055E-2"/>
          <c:y val="0.18640579573491742"/>
          <c:w val="0.87170072393154596"/>
          <c:h val="0.67239796960696496"/>
        </c:manualLayout>
      </c:layout>
      <c:areaChart>
        <c:grouping val="standard"/>
        <c:varyColors val="0"/>
        <c:ser>
          <c:idx val="1"/>
          <c:order val="1"/>
          <c:tx>
            <c:strRef>
              <c:f>pivots!$C$24</c:f>
              <c:strCache>
                <c:ptCount val="1"/>
                <c:pt idx="0">
                  <c:v>Call Count2</c:v>
                </c:pt>
              </c:strCache>
            </c:strRef>
          </c:tx>
          <c:spPr>
            <a:gradFill flip="none" rotWithShape="1">
              <a:gsLst>
                <a:gs pos="100000">
                  <a:schemeClr val="accent1">
                    <a:lumMod val="75000"/>
                  </a:schemeClr>
                </a:gs>
                <a:gs pos="0">
                  <a:schemeClr val="accent1">
                    <a:lumMod val="20000"/>
                    <a:lumOff val="80000"/>
                  </a:schemeClr>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D920-4DA4-9B54-C5C8A7A1D010}"/>
            </c:ext>
          </c:extLst>
        </c:ser>
        <c:dLbls>
          <c:showLegendKey val="0"/>
          <c:showVal val="0"/>
          <c:showCatName val="0"/>
          <c:showSerName val="0"/>
          <c:showPercent val="0"/>
          <c:showBubbleSize val="0"/>
        </c:dLbls>
        <c:axId val="74648591"/>
        <c:axId val="109116111"/>
      </c:areaChart>
      <c:lineChart>
        <c:grouping val="standard"/>
        <c:varyColors val="0"/>
        <c:ser>
          <c:idx val="0"/>
          <c:order val="0"/>
          <c:tx>
            <c:strRef>
              <c:f>pivots!$B$24</c:f>
              <c:strCache>
                <c:ptCount val="1"/>
                <c:pt idx="0">
                  <c:v>Call Count</c:v>
                </c:pt>
              </c:strCache>
            </c:strRef>
          </c:tx>
          <c:spPr>
            <a:ln w="38100" cap="rnd">
              <a:solidFill>
                <a:schemeClr val="accent1">
                  <a:lumMod val="75000"/>
                </a:schemeClr>
              </a:solidFill>
              <a:round/>
            </a:ln>
            <a:effectLst/>
          </c:spPr>
          <c:marker>
            <c:symbol val="circle"/>
            <c:size val="7"/>
            <c:spPr>
              <a:solidFill>
                <a:schemeClr val="accent1">
                  <a:lumMod val="50000"/>
                </a:schemeClr>
              </a:solidFill>
              <a:ln w="15875">
                <a:solidFill>
                  <a:schemeClr val="accent1">
                    <a:lumMod val="50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D920-4DA4-9B54-C5C8A7A1D010}"/>
            </c:ext>
          </c:extLst>
        </c:ser>
        <c:dLbls>
          <c:showLegendKey val="0"/>
          <c:showVal val="0"/>
          <c:showCatName val="0"/>
          <c:showSerName val="0"/>
          <c:showPercent val="0"/>
          <c:showBubbleSize val="0"/>
        </c:dLbls>
        <c:marker val="1"/>
        <c:smooth val="0"/>
        <c:axId val="74648591"/>
        <c:axId val="109116111"/>
      </c:lineChart>
      <c:catAx>
        <c:axId val="74648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endParaRPr lang="en-US"/>
          </a:p>
        </c:txPr>
        <c:crossAx val="109116111"/>
        <c:crosses val="autoZero"/>
        <c:auto val="1"/>
        <c:lblAlgn val="ctr"/>
        <c:lblOffset val="100"/>
        <c:noMultiLvlLbl val="0"/>
      </c:catAx>
      <c:valAx>
        <c:axId val="10911611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endParaRPr lang="en-US"/>
          </a:p>
        </c:txPr>
        <c:crossAx val="74648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1">
                    <a:lumMod val="50000"/>
                  </a:schemeClr>
                </a:solidFill>
              </a:rPr>
              <a:t>R03</a:t>
            </a:r>
            <a:r>
              <a:rPr lang="en-IN" sz="1800" b="1" baseline="0">
                <a:solidFill>
                  <a:schemeClr val="accent1">
                    <a:lumMod val="50000"/>
                  </a:schemeClr>
                </a:solidFill>
              </a:rPr>
              <a:t> Leads Regional Revenue</a:t>
            </a:r>
            <a:endParaRPr lang="en-IN" sz="1800" b="1">
              <a:solidFill>
                <a:schemeClr val="accent1">
                  <a:lumMod val="50000"/>
                </a:schemeClr>
              </a:solidFill>
            </a:endParaRPr>
          </a:p>
        </c:rich>
      </c:tx>
      <c:layout>
        <c:manualLayout>
          <c:xMode val="edge"/>
          <c:yMode val="edge"/>
          <c:x val="3.3619856060528662E-2"/>
          <c:y val="6.918236252865347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1872059528563053"/>
          <c:y val="0.12783032766065533"/>
          <c:w val="0.813439064551152"/>
          <c:h val="0.79038506477012949"/>
        </c:manualLayout>
      </c:layout>
      <c:barChart>
        <c:barDir val="bar"/>
        <c:grouping val="clustered"/>
        <c:varyColors val="0"/>
        <c:ser>
          <c:idx val="0"/>
          <c:order val="0"/>
          <c:spPr>
            <a:solidFill>
              <a:srgbClr val="CEE0D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pivots!$H$53:$H$57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1C53-4E95-A0E9-6C4899FBFD4A}"/>
            </c:ext>
          </c:extLst>
        </c:ser>
        <c:ser>
          <c:idx val="1"/>
          <c:order val="1"/>
          <c:tx>
            <c:strRef>
              <c:f>pivots!$J$52</c:f>
              <c:strCache>
                <c:ptCount val="1"/>
                <c:pt idx="0">
                  <c:v>Sel.Amount</c:v>
                </c:pt>
              </c:strCache>
            </c:strRef>
          </c:tx>
          <c:spPr>
            <a:solidFill>
              <a:srgbClr val="7EAE9C"/>
            </a:solidFill>
            <a:ln>
              <a:noFill/>
            </a:ln>
            <a:effectLst/>
          </c:spPr>
          <c:invertIfNegative val="0"/>
          <c:val>
            <c:numRef>
              <c:f>pivots!$J$53:$J$57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1C53-4E95-A0E9-6C4899FBFD4A}"/>
            </c:ext>
          </c:extLst>
        </c:ser>
        <c:dLbls>
          <c:showLegendKey val="0"/>
          <c:showVal val="0"/>
          <c:showCatName val="0"/>
          <c:showSerName val="0"/>
          <c:showPercent val="0"/>
          <c:showBubbleSize val="0"/>
        </c:dLbls>
        <c:gapWidth val="25"/>
        <c:overlap val="100"/>
        <c:axId val="384528623"/>
        <c:axId val="109295631"/>
      </c:barChart>
      <c:catAx>
        <c:axId val="384528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endParaRPr lang="en-US"/>
          </a:p>
        </c:txPr>
        <c:crossAx val="109295631"/>
        <c:crosses val="autoZero"/>
        <c:auto val="1"/>
        <c:lblAlgn val="ctr"/>
        <c:lblOffset val="100"/>
        <c:noMultiLvlLbl val="0"/>
      </c:catAx>
      <c:valAx>
        <c:axId val="109295631"/>
        <c:scaling>
          <c:orientation val="minMax"/>
        </c:scaling>
        <c:delete val="0"/>
        <c:axPos val="b"/>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1">
                    <a:lumMod val="50000"/>
                  </a:schemeClr>
                </a:solidFill>
                <a:latin typeface="+mn-lt"/>
                <a:ea typeface="+mn-ea"/>
                <a:cs typeface="+mn-cs"/>
              </a:defRPr>
            </a:pPr>
            <a:endParaRPr lang="en-US"/>
          </a:p>
        </c:txPr>
        <c:crossAx val="38452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50000"/>
                  </a:schemeClr>
                </a:solidFill>
              </a:rPr>
              <a:t>R02 Handles the Highest</a:t>
            </a:r>
            <a:r>
              <a:rPr lang="en-US" sz="1600" b="1" baseline="0">
                <a:solidFill>
                  <a:schemeClr val="accent1">
                    <a:lumMod val="50000"/>
                  </a:schemeClr>
                </a:solidFill>
              </a:rPr>
              <a:t> Call Volume</a:t>
            </a:r>
            <a:endParaRPr lang="en-US" sz="1600" b="1">
              <a:solidFill>
                <a:schemeClr val="accent1">
                  <a:lumMod val="50000"/>
                </a:schemeClr>
              </a:solidFill>
            </a:endParaRPr>
          </a:p>
        </c:rich>
      </c:tx>
      <c:layout>
        <c:manualLayout>
          <c:xMode val="edge"/>
          <c:yMode val="edge"/>
          <c:x val="4.8205670412868516E-2"/>
          <c:y val="2.7731080815842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386699489546548"/>
          <c:y val="0.14772160813790422"/>
          <c:w val="0.80393831553973905"/>
          <c:h val="0.8335893837415661"/>
        </c:manualLayout>
      </c:layout>
      <c:barChart>
        <c:barDir val="bar"/>
        <c:grouping val="clustered"/>
        <c:varyColors val="0"/>
        <c:ser>
          <c:idx val="0"/>
          <c:order val="0"/>
          <c:spPr>
            <a:solidFill>
              <a:srgbClr val="B3BF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pivots!$G$53:$G$57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09BC-43AE-A01A-36E3C202E2E5}"/>
            </c:ext>
          </c:extLst>
        </c:ser>
        <c:ser>
          <c:idx val="1"/>
          <c:order val="1"/>
          <c:tx>
            <c:strRef>
              <c:f>pivots!$I$52</c:f>
              <c:strCache>
                <c:ptCount val="1"/>
                <c:pt idx="0">
                  <c:v>Sel. Calls</c:v>
                </c:pt>
              </c:strCache>
            </c:strRef>
          </c:tx>
          <c:spPr>
            <a:gradFill flip="none" rotWithShape="1">
              <a:gsLst>
                <a:gs pos="0">
                  <a:srgbClr val="5671D2"/>
                </a:gs>
                <a:gs pos="0">
                  <a:schemeClr val="accent1">
                    <a:lumMod val="45000"/>
                    <a:lumOff val="55000"/>
                  </a:schemeClr>
                </a:gs>
                <a:gs pos="0">
                  <a:srgbClr val="5671D2"/>
                </a:gs>
                <a:gs pos="100000">
                  <a:srgbClr val="5671D2"/>
                </a:gs>
              </a:gsLst>
              <a:lin ang="18900000" scaled="1"/>
              <a:tileRect/>
            </a:gradFill>
            <a:ln>
              <a:noFill/>
            </a:ln>
            <a:effectLst/>
          </c:spPr>
          <c:invertIfNegative val="0"/>
          <c:val>
            <c:numRef>
              <c:f>pivots!$I$53:$I$57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09BC-43AE-A01A-36E3C202E2E5}"/>
            </c:ext>
          </c:extLst>
        </c:ser>
        <c:dLbls>
          <c:showLegendKey val="0"/>
          <c:showVal val="0"/>
          <c:showCatName val="0"/>
          <c:showSerName val="0"/>
          <c:showPercent val="0"/>
          <c:showBubbleSize val="0"/>
        </c:dLbls>
        <c:gapWidth val="25"/>
        <c:overlap val="100"/>
        <c:axId val="384528623"/>
        <c:axId val="109295631"/>
      </c:barChart>
      <c:catAx>
        <c:axId val="38452862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endParaRPr lang="en-US"/>
          </a:p>
        </c:txPr>
        <c:crossAx val="109295631"/>
        <c:crosses val="autoZero"/>
        <c:auto val="1"/>
        <c:lblAlgn val="ctr"/>
        <c:lblOffset val="100"/>
        <c:noMultiLvlLbl val="0"/>
      </c:catAx>
      <c:valAx>
        <c:axId val="109295631"/>
        <c:scaling>
          <c:orientation val="minMax"/>
          <c:min val="0"/>
        </c:scaling>
        <c:delete val="1"/>
        <c:axPos val="t"/>
        <c:numFmt formatCode="General" sourceLinked="1"/>
        <c:majorTickMark val="out"/>
        <c:minorTickMark val="none"/>
        <c:tickLblPos val="nextTo"/>
        <c:crossAx val="384528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[call_centre_performance_dashboard.xlsx]pivots!rep satisfaction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1">
                    <a:lumMod val="50000"/>
                  </a:schemeClr>
                </a:solidFill>
              </a:rPr>
              <a:t>Customer</a:t>
            </a:r>
            <a:r>
              <a:rPr lang="en-IN" sz="1600" b="1" baseline="0">
                <a:solidFill>
                  <a:schemeClr val="accent1">
                    <a:lumMod val="50000"/>
                  </a:schemeClr>
                </a:solidFill>
              </a:rPr>
              <a:t> Satisfaction Rating</a:t>
            </a:r>
            <a:endParaRPr lang="en-IN" sz="1600" b="1">
              <a:solidFill>
                <a:schemeClr val="accent1">
                  <a:lumMod val="50000"/>
                </a:schemeClr>
              </a:solidFill>
            </a:endParaRPr>
          </a:p>
        </c:rich>
      </c:tx>
      <c:layout>
        <c:manualLayout>
          <c:xMode val="edge"/>
          <c:yMode val="edge"/>
          <c:x val="5.4110627323749397E-2"/>
          <c:y val="1.88034120543196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49C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96691528224753"/>
          <c:y val="0.170980753952716"/>
          <c:w val="0.8190612224928242"/>
          <c:h val="0.70836638966224019"/>
        </c:manualLayout>
      </c:layout>
      <c:barChart>
        <c:barDir val="col"/>
        <c:grouping val="clustered"/>
        <c:varyColors val="0"/>
        <c:ser>
          <c:idx val="0"/>
          <c:order val="0"/>
          <c:tx>
            <c:strRef>
              <c:f>pivots!$D$78</c:f>
              <c:strCache>
                <c:ptCount val="1"/>
                <c:pt idx="0">
                  <c:v>Total</c:v>
                </c:pt>
              </c:strCache>
            </c:strRef>
          </c:tx>
          <c:spPr>
            <a:solidFill>
              <a:srgbClr val="849CE8"/>
            </a:solidFill>
            <a:ln>
              <a:noFill/>
            </a:ln>
            <a:effectLst/>
          </c:spPr>
          <c:invertIfNegative val="0"/>
          <c:cat>
            <c:strRef>
              <c:f>pivots!$C$79:$C$84</c:f>
              <c:strCache>
                <c:ptCount val="5"/>
                <c:pt idx="0">
                  <c:v>1</c:v>
                </c:pt>
                <c:pt idx="1">
                  <c:v>2</c:v>
                </c:pt>
                <c:pt idx="2">
                  <c:v>3</c:v>
                </c:pt>
                <c:pt idx="3">
                  <c:v>4</c:v>
                </c:pt>
                <c:pt idx="4">
                  <c:v>5</c:v>
                </c:pt>
              </c:strCache>
            </c:strRef>
          </c:cat>
          <c:val>
            <c:numRef>
              <c:f>pivots!$D$79:$D$84</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2333-4547-A4FC-DB6A81EFB28B}"/>
            </c:ext>
          </c:extLst>
        </c:ser>
        <c:dLbls>
          <c:showLegendKey val="0"/>
          <c:showVal val="0"/>
          <c:showCatName val="0"/>
          <c:showSerName val="0"/>
          <c:showPercent val="0"/>
          <c:showBubbleSize val="0"/>
        </c:dLbls>
        <c:gapWidth val="39"/>
        <c:overlap val="-27"/>
        <c:axId val="926968271"/>
        <c:axId val="2055178096"/>
      </c:barChart>
      <c:catAx>
        <c:axId val="92696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endParaRPr lang="en-US"/>
          </a:p>
        </c:txPr>
        <c:crossAx val="2055178096"/>
        <c:crosses val="autoZero"/>
        <c:auto val="1"/>
        <c:lblAlgn val="ctr"/>
        <c:lblOffset val="100"/>
        <c:noMultiLvlLbl val="0"/>
      </c:catAx>
      <c:valAx>
        <c:axId val="205517809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endParaRPr lang="en-US"/>
          </a:p>
        </c:txPr>
        <c:crossAx val="926968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[call_centre_performance_dashboard.xlsx]pivots!weekly trend</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1">
                    <a:lumMod val="50000"/>
                  </a:schemeClr>
                </a:solidFill>
              </a:rPr>
              <a:t>Buisest</a:t>
            </a:r>
            <a:r>
              <a:rPr lang="en-IN" sz="1800" b="1" baseline="0">
                <a:solidFill>
                  <a:schemeClr val="accent1">
                    <a:lumMod val="50000"/>
                  </a:schemeClr>
                </a:solidFill>
              </a:rPr>
              <a:t> Days of the Week</a:t>
            </a:r>
            <a:endParaRPr lang="en-IN" sz="1800" b="1">
              <a:solidFill>
                <a:schemeClr val="accent1">
                  <a:lumMod val="50000"/>
                </a:schemeClr>
              </a:solidFill>
            </a:endParaRPr>
          </a:p>
        </c:rich>
      </c:tx>
      <c:layout>
        <c:manualLayout>
          <c:xMode val="edge"/>
          <c:yMode val="edge"/>
          <c:x val="3.5420838081053029E-2"/>
          <c:y val="1.18279563216235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EAE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51853937797805"/>
          <c:y val="0.18349444396497933"/>
          <c:w val="0.75296914850382579"/>
          <c:h val="0.71654659687034139"/>
        </c:manualLayout>
      </c:layout>
      <c:barChart>
        <c:barDir val="bar"/>
        <c:grouping val="clustered"/>
        <c:varyColors val="0"/>
        <c:ser>
          <c:idx val="0"/>
          <c:order val="0"/>
          <c:tx>
            <c:strRef>
              <c:f>pivots!$I$25</c:f>
              <c:strCache>
                <c:ptCount val="1"/>
                <c:pt idx="0">
                  <c:v>Total</c:v>
                </c:pt>
              </c:strCache>
            </c:strRef>
          </c:tx>
          <c:spPr>
            <a:solidFill>
              <a:srgbClr val="7EAE9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pivots!$H$26:$H$33</c:f>
              <c:strCache>
                <c:ptCount val="7"/>
                <c:pt idx="0">
                  <c:v>Sunday</c:v>
                </c:pt>
                <c:pt idx="1">
                  <c:v>Monday</c:v>
                </c:pt>
                <c:pt idx="2">
                  <c:v>Tuesday</c:v>
                </c:pt>
                <c:pt idx="3">
                  <c:v>Wednesday</c:v>
                </c:pt>
                <c:pt idx="4">
                  <c:v>Thursday</c:v>
                </c:pt>
                <c:pt idx="5">
                  <c:v>Friday</c:v>
                </c:pt>
                <c:pt idx="6">
                  <c:v>Saturday</c:v>
                </c:pt>
              </c:strCache>
            </c:strRef>
          </c:cat>
          <c:val>
            <c:numRef>
              <c:f>pivots!$I$26:$I$33</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A852-4F0D-A6B6-CC839450EBEB}"/>
            </c:ext>
          </c:extLst>
        </c:ser>
        <c:dLbls>
          <c:dLblPos val="outEnd"/>
          <c:showLegendKey val="0"/>
          <c:showVal val="1"/>
          <c:showCatName val="0"/>
          <c:showSerName val="0"/>
          <c:showPercent val="0"/>
          <c:showBubbleSize val="0"/>
        </c:dLbls>
        <c:gapWidth val="42"/>
        <c:axId val="136825360"/>
        <c:axId val="776091088"/>
      </c:barChart>
      <c:catAx>
        <c:axId val="13682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50000"/>
                  </a:schemeClr>
                </a:solidFill>
                <a:latin typeface="+mn-lt"/>
                <a:ea typeface="+mn-ea"/>
                <a:cs typeface="+mn-cs"/>
              </a:defRPr>
            </a:pPr>
            <a:endParaRPr lang="en-US"/>
          </a:p>
        </c:txPr>
        <c:crossAx val="776091088"/>
        <c:crosses val="autoZero"/>
        <c:auto val="1"/>
        <c:lblAlgn val="ctr"/>
        <c:lblOffset val="100"/>
        <c:noMultiLvlLbl val="0"/>
      </c:catAx>
      <c:valAx>
        <c:axId val="7760910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1">
                    <a:lumMod val="50000"/>
                  </a:schemeClr>
                </a:solidFill>
                <a:latin typeface="+mn-lt"/>
                <a:ea typeface="+mn-ea"/>
                <a:cs typeface="+mn-cs"/>
              </a:defRPr>
            </a:pPr>
            <a:endParaRPr lang="en-US"/>
          </a:p>
        </c:txPr>
        <c:crossAx val="13682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[call_centre_performance_dashboard.xlsx]pivots!PivotTable7</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1">
                    <a:lumMod val="50000"/>
                  </a:schemeClr>
                </a:solidFill>
              </a:rPr>
              <a:t>Calls</a:t>
            </a:r>
            <a:r>
              <a:rPr lang="en-IN" sz="1600" b="1" baseline="0">
                <a:solidFill>
                  <a:schemeClr val="accent1">
                    <a:lumMod val="50000"/>
                  </a:schemeClr>
                </a:solidFill>
              </a:rPr>
              <a:t> by Gender</a:t>
            </a:r>
            <a:endParaRPr lang="en-IN" sz="1600" b="1">
              <a:solidFill>
                <a:schemeClr val="accent1">
                  <a:lumMod val="50000"/>
                </a:schemeClr>
              </a:solidFill>
            </a:endParaRPr>
          </a:p>
        </c:rich>
      </c:tx>
      <c:layout>
        <c:manualLayout>
          <c:xMode val="edge"/>
          <c:yMode val="edge"/>
          <c:x val="0.24124433468381107"/>
          <c:y val="2.39130468893425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1B9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C8FD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pivots!$F$66:$F$67</c:f>
              <c:strCache>
                <c:ptCount val="1"/>
                <c:pt idx="0">
                  <c:v>Female</c:v>
                </c:pt>
              </c:strCache>
            </c:strRef>
          </c:tx>
          <c:spPr>
            <a:solidFill>
              <a:srgbClr val="91B9A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pivots!$E$68:$E$71</c:f>
              <c:strCache>
                <c:ptCount val="3"/>
                <c:pt idx="0">
                  <c:v>Cincinnati</c:v>
                </c:pt>
                <c:pt idx="1">
                  <c:v>Cleveland</c:v>
                </c:pt>
                <c:pt idx="2">
                  <c:v>Columbus</c:v>
                </c:pt>
              </c:strCache>
            </c:strRef>
          </c:cat>
          <c:val>
            <c:numRef>
              <c:f>pivots!$F$68:$F$71</c:f>
              <c:numCache>
                <c:formatCode>#,##0</c:formatCode>
                <c:ptCount val="3"/>
                <c:pt idx="0">
                  <c:v>144</c:v>
                </c:pt>
                <c:pt idx="1">
                  <c:v>326</c:v>
                </c:pt>
                <c:pt idx="2">
                  <c:v>129</c:v>
                </c:pt>
              </c:numCache>
            </c:numRef>
          </c:val>
          <c:extLst>
            <c:ext xmlns:c16="http://schemas.microsoft.com/office/drawing/2014/chart" uri="{C3380CC4-5D6E-409C-BE32-E72D297353CC}">
              <c16:uniqueId val="{00000000-6C48-491C-BEF6-45DE69788BC4}"/>
            </c:ext>
          </c:extLst>
        </c:ser>
        <c:ser>
          <c:idx val="1"/>
          <c:order val="1"/>
          <c:tx>
            <c:strRef>
              <c:f>pivots!$G$66:$G$67</c:f>
              <c:strCache>
                <c:ptCount val="1"/>
                <c:pt idx="0">
                  <c:v>Male</c:v>
                </c:pt>
              </c:strCache>
            </c:strRef>
          </c:tx>
          <c:spPr>
            <a:solidFill>
              <a:srgbClr val="7C8FD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pivots!$E$68:$E$71</c:f>
              <c:strCache>
                <c:ptCount val="3"/>
                <c:pt idx="0">
                  <c:v>Cincinnati</c:v>
                </c:pt>
                <c:pt idx="1">
                  <c:v>Cleveland</c:v>
                </c:pt>
                <c:pt idx="2">
                  <c:v>Columbus</c:v>
                </c:pt>
              </c:strCache>
            </c:strRef>
          </c:cat>
          <c:val>
            <c:numRef>
              <c:f>pivots!$G$68:$G$71</c:f>
              <c:numCache>
                <c:formatCode>#,##0</c:formatCode>
                <c:ptCount val="3"/>
                <c:pt idx="0">
                  <c:v>132</c:v>
                </c:pt>
                <c:pt idx="1">
                  <c:v>63</c:v>
                </c:pt>
                <c:pt idx="2">
                  <c:v>206</c:v>
                </c:pt>
              </c:numCache>
            </c:numRef>
          </c:val>
          <c:extLst>
            <c:ext xmlns:c16="http://schemas.microsoft.com/office/drawing/2014/chart" uri="{C3380CC4-5D6E-409C-BE32-E72D297353CC}">
              <c16:uniqueId val="{00000001-6C48-491C-BEF6-45DE69788BC4}"/>
            </c:ext>
          </c:extLst>
        </c:ser>
        <c:dLbls>
          <c:showLegendKey val="0"/>
          <c:showVal val="0"/>
          <c:showCatName val="0"/>
          <c:showSerName val="0"/>
          <c:showPercent val="0"/>
          <c:showBubbleSize val="0"/>
        </c:dLbls>
        <c:gapWidth val="42"/>
        <c:overlap val="100"/>
        <c:axId val="2052511087"/>
        <c:axId val="776062768"/>
      </c:barChart>
      <c:catAx>
        <c:axId val="205251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mn-lt"/>
                <a:ea typeface="+mn-ea"/>
                <a:cs typeface="+mn-cs"/>
              </a:defRPr>
            </a:pPr>
            <a:endParaRPr lang="en-US"/>
          </a:p>
        </c:txPr>
        <c:crossAx val="776062768"/>
        <c:crosses val="autoZero"/>
        <c:auto val="1"/>
        <c:lblAlgn val="ctr"/>
        <c:lblOffset val="100"/>
        <c:noMultiLvlLbl val="0"/>
      </c:catAx>
      <c:valAx>
        <c:axId val="77606276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mn-lt"/>
                <a:ea typeface="+mn-ea"/>
                <a:cs typeface="+mn-cs"/>
              </a:defRPr>
            </a:pPr>
            <a:endParaRPr lang="en-US"/>
          </a:p>
        </c:txPr>
        <c:crossAx val="205251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405742</xdr:colOff>
      <xdr:row>3</xdr:row>
      <xdr:rowOff>11545</xdr:rowOff>
    </xdr:from>
    <xdr:to>
      <xdr:col>5</xdr:col>
      <xdr:colOff>196273</xdr:colOff>
      <xdr:row>10</xdr:row>
      <xdr:rowOff>-1</xdr:rowOff>
    </xdr:to>
    <xdr:sp macro="" textlink="pivots!A4">
      <xdr:nvSpPr>
        <xdr:cNvPr id="5" name="Rectangle 1">
          <a:extLst>
            <a:ext uri="{FF2B5EF4-FFF2-40B4-BE49-F238E27FC236}">
              <a16:creationId xmlns:a16="http://schemas.microsoft.com/office/drawing/2014/main" id="{4754A04F-2E3B-E62A-37DF-AFDBBD933D85}"/>
            </a:ext>
          </a:extLst>
        </xdr:cNvPr>
        <xdr:cNvSpPr/>
      </xdr:nvSpPr>
      <xdr:spPr>
        <a:xfrm>
          <a:off x="405742" y="1119909"/>
          <a:ext cx="2342076" cy="1662545"/>
        </a:xfrm>
        <a:prstGeom prst="rect">
          <a:avLst/>
        </a:prstGeom>
        <a:solidFill>
          <a:schemeClr val="tx2">
            <a:lumMod val="20000"/>
            <a:lumOff val="8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FABE448-0FA8-47BB-B5FE-293F9133A0BF}" type="TxLink">
            <a:rPr lang="en-US" sz="3200" b="1" i="0" u="none" strike="noStrike">
              <a:solidFill>
                <a:schemeClr val="accent1">
                  <a:lumMod val="50000"/>
                </a:schemeClr>
              </a:solidFill>
              <a:latin typeface="+mn-lt"/>
              <a:ea typeface="SimSun-ExtG" panose="02010609060101010101" pitchFamily="49" charset="-122"/>
              <a:cs typeface="+mn-cs"/>
            </a:rPr>
            <a:pPr marL="0" indent="0" algn="ctr"/>
            <a:t>1,000</a:t>
          </a:fld>
          <a:endParaRPr lang="en-US" sz="3200" b="1" i="0" u="none" strike="noStrike">
            <a:solidFill>
              <a:schemeClr val="accent1">
                <a:lumMod val="50000"/>
              </a:schemeClr>
            </a:solidFill>
            <a:latin typeface="+mn-lt"/>
            <a:ea typeface="SimSun-ExtG" panose="02010609060101010101" pitchFamily="49" charset="-122"/>
            <a:cs typeface="+mn-cs"/>
          </a:endParaRPr>
        </a:p>
      </xdr:txBody>
    </xdr:sp>
    <xdr:clientData/>
  </xdr:twoCellAnchor>
  <xdr:twoCellAnchor>
    <xdr:from>
      <xdr:col>0</xdr:col>
      <xdr:colOff>461820</xdr:colOff>
      <xdr:row>2</xdr:row>
      <xdr:rowOff>161636</xdr:rowOff>
    </xdr:from>
    <xdr:to>
      <xdr:col>5</xdr:col>
      <xdr:colOff>0</xdr:colOff>
      <xdr:row>3</xdr:row>
      <xdr:rowOff>565726</xdr:rowOff>
    </xdr:to>
    <xdr:sp macro="" textlink="">
      <xdr:nvSpPr>
        <xdr:cNvPr id="4" name="TextBox 3">
          <a:extLst>
            <a:ext uri="{FF2B5EF4-FFF2-40B4-BE49-F238E27FC236}">
              <a16:creationId xmlns:a16="http://schemas.microsoft.com/office/drawing/2014/main" id="{E9B1EBE4-68A7-5902-8354-493B406765CD}"/>
            </a:ext>
          </a:extLst>
        </xdr:cNvPr>
        <xdr:cNvSpPr txBox="1"/>
      </xdr:nvSpPr>
      <xdr:spPr>
        <a:xfrm rot="10800000" flipH="1" flipV="1">
          <a:off x="461820" y="1062181"/>
          <a:ext cx="2089725" cy="611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50000"/>
                </a:schemeClr>
              </a:solidFill>
              <a:latin typeface="Aptos" panose="020B0004020202020204" pitchFamily="34" charset="0"/>
            </a:rPr>
            <a:t>Total Calls</a:t>
          </a:r>
        </a:p>
      </xdr:txBody>
    </xdr:sp>
    <xdr:clientData/>
  </xdr:twoCellAnchor>
  <xdr:twoCellAnchor>
    <xdr:from>
      <xdr:col>9</xdr:col>
      <xdr:colOff>385336</xdr:colOff>
      <xdr:row>0</xdr:row>
      <xdr:rowOff>600361</xdr:rowOff>
    </xdr:from>
    <xdr:to>
      <xdr:col>13</xdr:col>
      <xdr:colOff>184728</xdr:colOff>
      <xdr:row>2</xdr:row>
      <xdr:rowOff>92364</xdr:rowOff>
    </xdr:to>
    <xdr:sp macro="" textlink="">
      <xdr:nvSpPr>
        <xdr:cNvPr id="8" name="TextBox 7">
          <a:extLst>
            <a:ext uri="{FF2B5EF4-FFF2-40B4-BE49-F238E27FC236}">
              <a16:creationId xmlns:a16="http://schemas.microsoft.com/office/drawing/2014/main" id="{D754967E-664D-48D3-8792-A036DFB34BED}"/>
            </a:ext>
          </a:extLst>
        </xdr:cNvPr>
        <xdr:cNvSpPr txBox="1"/>
      </xdr:nvSpPr>
      <xdr:spPr>
        <a:xfrm rot="10800000" flipH="1" flipV="1">
          <a:off x="5384518" y="600361"/>
          <a:ext cx="2247028" cy="392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50000"/>
                </a:schemeClr>
              </a:solidFill>
              <a:latin typeface="Aptos" panose="020B0004020202020204" pitchFamily="34" charset="0"/>
              <a:ea typeface="+mn-ea"/>
              <a:cs typeface="+mn-cs"/>
            </a:rPr>
            <a:t>Total</a:t>
          </a:r>
          <a:r>
            <a:rPr lang="en-IN" sz="2000" b="1" baseline="0">
              <a:solidFill>
                <a:schemeClr val="accent1">
                  <a:lumMod val="50000"/>
                </a:schemeClr>
              </a:solidFill>
            </a:rPr>
            <a:t> </a:t>
          </a:r>
          <a:r>
            <a:rPr lang="en-IN" sz="2000" b="1">
              <a:solidFill>
                <a:schemeClr val="accent1">
                  <a:lumMod val="50000"/>
                </a:schemeClr>
              </a:solidFill>
              <a:latin typeface="Aptos" panose="020B0004020202020204" pitchFamily="34" charset="0"/>
              <a:ea typeface="+mn-ea"/>
              <a:cs typeface="+mn-cs"/>
            </a:rPr>
            <a:t>Revenue</a:t>
          </a:r>
        </a:p>
        <a:p>
          <a:pPr algn="ctr"/>
          <a:endParaRPr lang="en-IN" sz="1100">
            <a:solidFill>
              <a:schemeClr val="bg1">
                <a:lumMod val="95000"/>
              </a:schemeClr>
            </a:solidFill>
          </a:endParaRPr>
        </a:p>
      </xdr:txBody>
    </xdr:sp>
    <xdr:clientData/>
  </xdr:twoCellAnchor>
  <xdr:twoCellAnchor>
    <xdr:from>
      <xdr:col>3</xdr:col>
      <xdr:colOff>447222</xdr:colOff>
      <xdr:row>8</xdr:row>
      <xdr:rowOff>27215</xdr:rowOff>
    </xdr:from>
    <xdr:to>
      <xdr:col>3</xdr:col>
      <xdr:colOff>598714</xdr:colOff>
      <xdr:row>9</xdr:row>
      <xdr:rowOff>145143</xdr:rowOff>
    </xdr:to>
    <xdr:sp macro="" textlink="pivots!B10">
      <xdr:nvSpPr>
        <xdr:cNvPr id="10" name="TextBox 9">
          <a:extLst>
            <a:ext uri="{FF2B5EF4-FFF2-40B4-BE49-F238E27FC236}">
              <a16:creationId xmlns:a16="http://schemas.microsoft.com/office/drawing/2014/main" id="{8A00EF0D-D1A1-4E70-BEA8-23554F6727C5}"/>
            </a:ext>
          </a:extLst>
        </xdr:cNvPr>
        <xdr:cNvSpPr txBox="1"/>
      </xdr:nvSpPr>
      <xdr:spPr>
        <a:xfrm>
          <a:off x="1327151" y="1823358"/>
          <a:ext cx="151492" cy="317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b="0" i="0" u="none" strike="noStrike">
            <a:solidFill>
              <a:schemeClr val="bg2"/>
            </a:solidFill>
            <a:latin typeface="Sylfaen"/>
          </a:endParaRPr>
        </a:p>
        <a:p>
          <a:pPr algn="ctr"/>
          <a:endParaRPr lang="en-US" sz="1100" b="0" i="0" u="none" strike="noStrike">
            <a:solidFill>
              <a:srgbClr val="000000"/>
            </a:solidFill>
            <a:latin typeface="Sylfaen"/>
          </a:endParaRPr>
        </a:p>
        <a:p>
          <a:pPr algn="ctr"/>
          <a:fld id="{38E204C8-5C9A-44C5-B2F8-EF9E8D9C5D80}" type="TxLink">
            <a:rPr lang="en-US" sz="1100" b="0" i="0" u="none" strike="noStrike">
              <a:solidFill>
                <a:srgbClr val="000000"/>
              </a:solidFill>
              <a:latin typeface="Sylfaen"/>
            </a:rPr>
            <a:pPr algn="ctr"/>
            <a:t> $20,581.00 </a:t>
          </a:fld>
          <a:endParaRPr lang="en-IN" sz="1100">
            <a:solidFill>
              <a:schemeClr val="accent6">
                <a:lumMod val="20000"/>
                <a:lumOff val="80000"/>
              </a:schemeClr>
            </a:solidFill>
          </a:endParaRPr>
        </a:p>
      </xdr:txBody>
    </xdr:sp>
    <xdr:clientData/>
  </xdr:twoCellAnchor>
  <xdr:twoCellAnchor>
    <xdr:from>
      <xdr:col>2</xdr:col>
      <xdr:colOff>562429</xdr:colOff>
      <xdr:row>23</xdr:row>
      <xdr:rowOff>108858</xdr:rowOff>
    </xdr:from>
    <xdr:to>
      <xdr:col>4</xdr:col>
      <xdr:colOff>344715</xdr:colOff>
      <xdr:row>25</xdr:row>
      <xdr:rowOff>127000</xdr:rowOff>
    </xdr:to>
    <xdr:sp macro="" textlink="">
      <xdr:nvSpPr>
        <xdr:cNvPr id="18" name="TextBox 17">
          <a:extLst>
            <a:ext uri="{FF2B5EF4-FFF2-40B4-BE49-F238E27FC236}">
              <a16:creationId xmlns:a16="http://schemas.microsoft.com/office/drawing/2014/main" id="{880DD8C4-D649-44D4-8D93-EE68A5BC6B2C}"/>
            </a:ext>
          </a:extLst>
        </xdr:cNvPr>
        <xdr:cNvSpPr txBox="1"/>
      </xdr:nvSpPr>
      <xdr:spPr>
        <a:xfrm>
          <a:off x="834572" y="5070929"/>
          <a:ext cx="997857"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a:ln>
              <a:noFill/>
            </a:ln>
            <a:solidFill>
              <a:schemeClr val="bg1"/>
            </a:solidFill>
          </a:endParaRPr>
        </a:p>
      </xdr:txBody>
    </xdr:sp>
    <xdr:clientData/>
  </xdr:twoCellAnchor>
  <xdr:twoCellAnchor editAs="oneCell">
    <xdr:from>
      <xdr:col>16</xdr:col>
      <xdr:colOff>538789</xdr:colOff>
      <xdr:row>28</xdr:row>
      <xdr:rowOff>80819</xdr:rowOff>
    </xdr:from>
    <xdr:to>
      <xdr:col>18</xdr:col>
      <xdr:colOff>415637</xdr:colOff>
      <xdr:row>36</xdr:row>
      <xdr:rowOff>173183</xdr:rowOff>
    </xdr:to>
    <mc:AlternateContent xmlns:mc="http://schemas.openxmlformats.org/markup-compatibility/2006" xmlns:a14="http://schemas.microsoft.com/office/drawing/2010/main">
      <mc:Choice Requires="a14">
        <xdr:graphicFrame macro="">
          <xdr:nvGraphicFramePr>
            <xdr:cNvPr id="25" name="Representative">
              <a:extLst>
                <a:ext uri="{FF2B5EF4-FFF2-40B4-BE49-F238E27FC236}">
                  <a16:creationId xmlns:a16="http://schemas.microsoft.com/office/drawing/2014/main" id="{DA30FFCA-A4E9-47E0-9B3A-57C8A651DF2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9890607" y="6269183"/>
              <a:ext cx="1100666" cy="17549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377450</xdr:colOff>
      <xdr:row>10</xdr:row>
      <xdr:rowOff>184726</xdr:rowOff>
    </xdr:from>
    <xdr:to>
      <xdr:col>10</xdr:col>
      <xdr:colOff>138545</xdr:colOff>
      <xdr:row>26</xdr:row>
      <xdr:rowOff>138546</xdr:rowOff>
    </xdr:to>
    <xdr:graphicFrame macro="">
      <xdr:nvGraphicFramePr>
        <xdr:cNvPr id="26" name="Chart 25">
          <a:extLst>
            <a:ext uri="{FF2B5EF4-FFF2-40B4-BE49-F238E27FC236}">
              <a16:creationId xmlns:a16="http://schemas.microsoft.com/office/drawing/2014/main" id="{19068009-EFC9-4AB9-9713-3567D9029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519545</xdr:colOff>
      <xdr:row>28</xdr:row>
      <xdr:rowOff>57729</xdr:rowOff>
    </xdr:from>
    <xdr:to>
      <xdr:col>16</xdr:col>
      <xdr:colOff>519546</xdr:colOff>
      <xdr:row>48</xdr:row>
      <xdr:rowOff>34638</xdr:rowOff>
    </xdr:to>
    <xdr:graphicFrame macro="">
      <xdr:nvGraphicFramePr>
        <xdr:cNvPr id="28" name="Chart 27">
          <a:extLst>
            <a:ext uri="{FF2B5EF4-FFF2-40B4-BE49-F238E27FC236}">
              <a16:creationId xmlns:a16="http://schemas.microsoft.com/office/drawing/2014/main" id="{FE77F09E-9115-45E4-9022-71451C0CC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356598</xdr:colOff>
      <xdr:row>28</xdr:row>
      <xdr:rowOff>92364</xdr:rowOff>
    </xdr:from>
    <xdr:to>
      <xdr:col>8</xdr:col>
      <xdr:colOff>242453</xdr:colOff>
      <xdr:row>48</xdr:row>
      <xdr:rowOff>57729</xdr:rowOff>
    </xdr:to>
    <xdr:graphicFrame macro="">
      <xdr:nvGraphicFramePr>
        <xdr:cNvPr id="29" name="Chart 28">
          <a:extLst>
            <a:ext uri="{FF2B5EF4-FFF2-40B4-BE49-F238E27FC236}">
              <a16:creationId xmlns:a16="http://schemas.microsoft.com/office/drawing/2014/main" id="{8126C285-CC03-439D-A21B-20C7933EE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119416</xdr:colOff>
      <xdr:row>28</xdr:row>
      <xdr:rowOff>34635</xdr:rowOff>
    </xdr:from>
    <xdr:to>
      <xdr:col>24</xdr:col>
      <xdr:colOff>531092</xdr:colOff>
      <xdr:row>47</xdr:row>
      <xdr:rowOff>138545</xdr:rowOff>
    </xdr:to>
    <xdr:graphicFrame macro="">
      <xdr:nvGraphicFramePr>
        <xdr:cNvPr id="32" name="Chart 31">
          <a:extLst>
            <a:ext uri="{FF2B5EF4-FFF2-40B4-BE49-F238E27FC236}">
              <a16:creationId xmlns:a16="http://schemas.microsoft.com/office/drawing/2014/main" id="{A8EF2BA2-E7BD-4177-901A-966BBC3CD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404090</xdr:colOff>
      <xdr:row>10</xdr:row>
      <xdr:rowOff>173183</xdr:rowOff>
    </xdr:from>
    <xdr:to>
      <xdr:col>18</xdr:col>
      <xdr:colOff>265546</xdr:colOff>
      <xdr:row>26</xdr:row>
      <xdr:rowOff>69274</xdr:rowOff>
    </xdr:to>
    <xdr:graphicFrame macro="">
      <xdr:nvGraphicFramePr>
        <xdr:cNvPr id="33" name="Chart 32">
          <a:extLst>
            <a:ext uri="{FF2B5EF4-FFF2-40B4-BE49-F238E27FC236}">
              <a16:creationId xmlns:a16="http://schemas.microsoft.com/office/drawing/2014/main" id="{AA02E257-08E9-4B83-93C3-510EF63F5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473365</xdr:colOff>
      <xdr:row>10</xdr:row>
      <xdr:rowOff>138545</xdr:rowOff>
    </xdr:from>
    <xdr:to>
      <xdr:col>24</xdr:col>
      <xdr:colOff>404092</xdr:colOff>
      <xdr:row>25</xdr:row>
      <xdr:rowOff>207817</xdr:rowOff>
    </xdr:to>
    <xdr:graphicFrame macro="">
      <xdr:nvGraphicFramePr>
        <xdr:cNvPr id="34" name="Chart 33">
          <a:extLst>
            <a:ext uri="{FF2B5EF4-FFF2-40B4-BE49-F238E27FC236}">
              <a16:creationId xmlns:a16="http://schemas.microsoft.com/office/drawing/2014/main" id="{8066BE47-CD0E-445C-87B9-B0F0C8DF6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334819</xdr:colOff>
      <xdr:row>0</xdr:row>
      <xdr:rowOff>0</xdr:rowOff>
    </xdr:from>
    <xdr:to>
      <xdr:col>25</xdr:col>
      <xdr:colOff>161637</xdr:colOff>
      <xdr:row>2</xdr:row>
      <xdr:rowOff>69272</xdr:rowOff>
    </xdr:to>
    <xdr:sp macro="" textlink="">
      <xdr:nvSpPr>
        <xdr:cNvPr id="6" name="Rectangle: Rounded Corners 5">
          <a:extLst>
            <a:ext uri="{FF2B5EF4-FFF2-40B4-BE49-F238E27FC236}">
              <a16:creationId xmlns:a16="http://schemas.microsoft.com/office/drawing/2014/main" id="{696DBB22-FFD9-BBC1-DD0A-46E32B007E89}"/>
            </a:ext>
          </a:extLst>
        </xdr:cNvPr>
        <xdr:cNvSpPr/>
      </xdr:nvSpPr>
      <xdr:spPr>
        <a:xfrm>
          <a:off x="334819" y="0"/>
          <a:ext cx="14685818" cy="969817"/>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bg1"/>
              </a:solidFill>
              <a:latin typeface="Aptos" panose="020B0004020202020204" pitchFamily="34" charset="0"/>
            </a:rPr>
            <a:t>CALL</a:t>
          </a:r>
          <a:r>
            <a:rPr lang="en-IN" sz="4000" b="1" baseline="0">
              <a:solidFill>
                <a:schemeClr val="bg1"/>
              </a:solidFill>
              <a:latin typeface="Aptos" panose="020B0004020202020204" pitchFamily="34" charset="0"/>
            </a:rPr>
            <a:t> CENTRE PERFOMANCE - 2023</a:t>
          </a:r>
        </a:p>
        <a:p>
          <a:pPr algn="ctr"/>
          <a:endParaRPr lang="en-IN" sz="4000" b="1" baseline="0">
            <a:solidFill>
              <a:schemeClr val="bg1"/>
            </a:solidFill>
            <a:latin typeface="Aptos" panose="020B0004020202020204" pitchFamily="34" charset="0"/>
          </a:endParaRPr>
        </a:p>
      </xdr:txBody>
    </xdr:sp>
    <xdr:clientData/>
  </xdr:twoCellAnchor>
  <xdr:twoCellAnchor>
    <xdr:from>
      <xdr:col>1</xdr:col>
      <xdr:colOff>46181</xdr:colOff>
      <xdr:row>7</xdr:row>
      <xdr:rowOff>150091</xdr:rowOff>
    </xdr:from>
    <xdr:to>
      <xdr:col>4</xdr:col>
      <xdr:colOff>600363</xdr:colOff>
      <xdr:row>9</xdr:row>
      <xdr:rowOff>57727</xdr:rowOff>
    </xdr:to>
    <xdr:sp macro="" textlink="">
      <xdr:nvSpPr>
        <xdr:cNvPr id="3" name="TextBox 2">
          <a:extLst>
            <a:ext uri="{FF2B5EF4-FFF2-40B4-BE49-F238E27FC236}">
              <a16:creationId xmlns:a16="http://schemas.microsoft.com/office/drawing/2014/main" id="{F69D1972-2EB3-A2DA-93CF-C2E99A5F273F}"/>
            </a:ext>
          </a:extLst>
        </xdr:cNvPr>
        <xdr:cNvSpPr txBox="1"/>
      </xdr:nvSpPr>
      <xdr:spPr>
        <a:xfrm>
          <a:off x="623454" y="2309091"/>
          <a:ext cx="1916545" cy="323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accent1">
                  <a:lumMod val="75000"/>
                </a:schemeClr>
              </a:solidFill>
              <a:latin typeface="Aptos" panose="020B0004020202020204" pitchFamily="34" charset="0"/>
            </a:rPr>
            <a:t>Across</a:t>
          </a:r>
          <a:r>
            <a:rPr lang="en-IN" sz="1600" baseline="0">
              <a:solidFill>
                <a:schemeClr val="accent1">
                  <a:lumMod val="75000"/>
                </a:schemeClr>
              </a:solidFill>
              <a:latin typeface="Aptos" panose="020B0004020202020204" pitchFamily="34" charset="0"/>
            </a:rPr>
            <a:t> 3 cities</a:t>
          </a:r>
          <a:endParaRPr lang="en-IN" sz="1600">
            <a:solidFill>
              <a:schemeClr val="accent1">
                <a:lumMod val="75000"/>
              </a:schemeClr>
            </a:solidFill>
            <a:latin typeface="Aptos" panose="020B0004020202020204" pitchFamily="34" charset="0"/>
          </a:endParaRPr>
        </a:p>
      </xdr:txBody>
    </xdr:sp>
    <xdr:clientData/>
  </xdr:twoCellAnchor>
  <xdr:twoCellAnchor>
    <xdr:from>
      <xdr:col>5</xdr:col>
      <xdr:colOff>392547</xdr:colOff>
      <xdr:row>3</xdr:row>
      <xdr:rowOff>11546</xdr:rowOff>
    </xdr:from>
    <xdr:to>
      <xdr:col>9</xdr:col>
      <xdr:colOff>286986</xdr:colOff>
      <xdr:row>10</xdr:row>
      <xdr:rowOff>34637</xdr:rowOff>
    </xdr:to>
    <xdr:sp macro="" textlink="pivots!B4">
      <xdr:nvSpPr>
        <xdr:cNvPr id="9" name="Rectangle 1">
          <a:extLst>
            <a:ext uri="{FF2B5EF4-FFF2-40B4-BE49-F238E27FC236}">
              <a16:creationId xmlns:a16="http://schemas.microsoft.com/office/drawing/2014/main" id="{59626F26-7BEE-4897-9846-74477389F0CD}"/>
            </a:ext>
          </a:extLst>
        </xdr:cNvPr>
        <xdr:cNvSpPr/>
      </xdr:nvSpPr>
      <xdr:spPr>
        <a:xfrm>
          <a:off x="2944092" y="1119910"/>
          <a:ext cx="2342076" cy="1697182"/>
        </a:xfrm>
        <a:prstGeom prst="rect">
          <a:avLst/>
        </a:prstGeom>
        <a:solidFill>
          <a:schemeClr val="tx2">
            <a:lumMod val="20000"/>
            <a:lumOff val="8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48F25D6-FF2D-459B-90DA-0D4D31878271}" type="TxLink">
            <a:rPr lang="en-US" sz="2800" b="1" i="0" u="none" strike="noStrike">
              <a:solidFill>
                <a:schemeClr val="accent1">
                  <a:lumMod val="50000"/>
                </a:schemeClr>
              </a:solidFill>
              <a:latin typeface="Sylfaen"/>
              <a:ea typeface="SimSun-ExtG" panose="02010609060101010101" pitchFamily="49" charset="-122"/>
              <a:cs typeface="+mn-cs"/>
            </a:rPr>
            <a:pPr marL="0" indent="0" algn="ctr"/>
            <a:t> $96,623.00 </a:t>
          </a:fld>
          <a:endParaRPr lang="en-US" sz="2800" b="1" i="0" u="none" strike="noStrike">
            <a:solidFill>
              <a:schemeClr val="accent1">
                <a:lumMod val="50000"/>
              </a:schemeClr>
            </a:solidFill>
            <a:latin typeface="+mn-lt"/>
            <a:ea typeface="SimSun-ExtG" panose="02010609060101010101" pitchFamily="49" charset="-122"/>
            <a:cs typeface="+mn-cs"/>
          </a:endParaRPr>
        </a:p>
      </xdr:txBody>
    </xdr:sp>
    <xdr:clientData/>
  </xdr:twoCellAnchor>
  <xdr:twoCellAnchor>
    <xdr:from>
      <xdr:col>6</xdr:col>
      <xdr:colOff>103908</xdr:colOff>
      <xdr:row>3</xdr:row>
      <xdr:rowOff>69271</xdr:rowOff>
    </xdr:from>
    <xdr:to>
      <xdr:col>9</xdr:col>
      <xdr:colOff>46181</xdr:colOff>
      <xdr:row>3</xdr:row>
      <xdr:rowOff>507998</xdr:rowOff>
    </xdr:to>
    <xdr:sp macro="" textlink="">
      <xdr:nvSpPr>
        <xdr:cNvPr id="13" name="TextBox 12">
          <a:extLst>
            <a:ext uri="{FF2B5EF4-FFF2-40B4-BE49-F238E27FC236}">
              <a16:creationId xmlns:a16="http://schemas.microsoft.com/office/drawing/2014/main" id="{A17A2969-CBF1-BCCF-1418-B057A4F388FF}"/>
            </a:ext>
          </a:extLst>
        </xdr:cNvPr>
        <xdr:cNvSpPr txBox="1"/>
      </xdr:nvSpPr>
      <xdr:spPr>
        <a:xfrm>
          <a:off x="3267363" y="1177635"/>
          <a:ext cx="1778000" cy="438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50000"/>
                </a:schemeClr>
              </a:solidFill>
            </a:rPr>
            <a:t>Total Revenue</a:t>
          </a:r>
        </a:p>
      </xdr:txBody>
    </xdr:sp>
    <xdr:clientData/>
  </xdr:twoCellAnchor>
  <xdr:twoCellAnchor>
    <xdr:from>
      <xdr:col>5</xdr:col>
      <xdr:colOff>496455</xdr:colOff>
      <xdr:row>7</xdr:row>
      <xdr:rowOff>150092</xdr:rowOff>
    </xdr:from>
    <xdr:to>
      <xdr:col>9</xdr:col>
      <xdr:colOff>184727</xdr:colOff>
      <xdr:row>9</xdr:row>
      <xdr:rowOff>1</xdr:rowOff>
    </xdr:to>
    <xdr:sp macro="" textlink="">
      <xdr:nvSpPr>
        <xdr:cNvPr id="14" name="TextBox 13">
          <a:extLst>
            <a:ext uri="{FF2B5EF4-FFF2-40B4-BE49-F238E27FC236}">
              <a16:creationId xmlns:a16="http://schemas.microsoft.com/office/drawing/2014/main" id="{64C8CEBA-252C-58CA-2879-AF16BD970995}"/>
            </a:ext>
          </a:extLst>
        </xdr:cNvPr>
        <xdr:cNvSpPr txBox="1"/>
      </xdr:nvSpPr>
      <xdr:spPr>
        <a:xfrm>
          <a:off x="3048000" y="2309092"/>
          <a:ext cx="2135909" cy="265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accent1">
                  <a:lumMod val="75000"/>
                </a:schemeClr>
              </a:solidFill>
            </a:rPr>
            <a:t>Average = $97 per call</a:t>
          </a:r>
        </a:p>
      </xdr:txBody>
    </xdr:sp>
    <xdr:clientData/>
  </xdr:twoCellAnchor>
  <xdr:twoCellAnchor>
    <xdr:from>
      <xdr:col>9</xdr:col>
      <xdr:colOff>507999</xdr:colOff>
      <xdr:row>2</xdr:row>
      <xdr:rowOff>184728</xdr:rowOff>
    </xdr:from>
    <xdr:to>
      <xdr:col>13</xdr:col>
      <xdr:colOff>506348</xdr:colOff>
      <xdr:row>10</xdr:row>
      <xdr:rowOff>11545</xdr:rowOff>
    </xdr:to>
    <xdr:sp macro="" textlink="pivots!C4">
      <xdr:nvSpPr>
        <xdr:cNvPr id="17" name="Rectangle 1">
          <a:extLst>
            <a:ext uri="{FF2B5EF4-FFF2-40B4-BE49-F238E27FC236}">
              <a16:creationId xmlns:a16="http://schemas.microsoft.com/office/drawing/2014/main" id="{906DC079-2369-439C-AE6B-C0CA6634E89C}"/>
            </a:ext>
          </a:extLst>
        </xdr:cNvPr>
        <xdr:cNvSpPr/>
      </xdr:nvSpPr>
      <xdr:spPr>
        <a:xfrm>
          <a:off x="5507181" y="1085273"/>
          <a:ext cx="2445985" cy="1708727"/>
        </a:xfrm>
        <a:prstGeom prst="rect">
          <a:avLst/>
        </a:prstGeom>
        <a:solidFill>
          <a:schemeClr val="tx2">
            <a:lumMod val="20000"/>
            <a:lumOff val="8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CC87193-43AE-44DF-A696-AF21470341B3}" type="TxLink">
            <a:rPr lang="en-US" sz="3200" b="1" i="0" u="none" strike="noStrike">
              <a:solidFill>
                <a:schemeClr val="accent1">
                  <a:lumMod val="50000"/>
                </a:schemeClr>
              </a:solidFill>
              <a:latin typeface="Sylfaen"/>
              <a:ea typeface="SimSun-ExtG" panose="02010609060101010101" pitchFamily="49" charset="-122"/>
              <a:cs typeface="+mn-cs"/>
            </a:rPr>
            <a:pPr marL="0" indent="0" algn="ctr"/>
            <a:t>89,850</a:t>
          </a:fld>
          <a:endParaRPr lang="en-US" sz="3200" b="1" i="0" u="none" strike="noStrike">
            <a:solidFill>
              <a:schemeClr val="accent1">
                <a:lumMod val="50000"/>
              </a:schemeClr>
            </a:solidFill>
            <a:latin typeface="+mn-lt"/>
            <a:ea typeface="SimSun-ExtG" panose="02010609060101010101" pitchFamily="49" charset="-122"/>
            <a:cs typeface="+mn-cs"/>
          </a:endParaRPr>
        </a:p>
      </xdr:txBody>
    </xdr:sp>
    <xdr:clientData/>
  </xdr:twoCellAnchor>
  <xdr:twoCellAnchor>
    <xdr:from>
      <xdr:col>9</xdr:col>
      <xdr:colOff>600363</xdr:colOff>
      <xdr:row>3</xdr:row>
      <xdr:rowOff>57725</xdr:rowOff>
    </xdr:from>
    <xdr:to>
      <xdr:col>13</xdr:col>
      <xdr:colOff>565727</xdr:colOff>
      <xdr:row>3</xdr:row>
      <xdr:rowOff>450271</xdr:rowOff>
    </xdr:to>
    <xdr:sp macro="" textlink="">
      <xdr:nvSpPr>
        <xdr:cNvPr id="21" name="TextBox 20">
          <a:extLst>
            <a:ext uri="{FF2B5EF4-FFF2-40B4-BE49-F238E27FC236}">
              <a16:creationId xmlns:a16="http://schemas.microsoft.com/office/drawing/2014/main" id="{DA3345E3-22F8-414A-8188-DDB86C3AF906}"/>
            </a:ext>
          </a:extLst>
        </xdr:cNvPr>
        <xdr:cNvSpPr txBox="1"/>
      </xdr:nvSpPr>
      <xdr:spPr>
        <a:xfrm>
          <a:off x="5599545" y="1166089"/>
          <a:ext cx="2413000" cy="392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50000"/>
                </a:schemeClr>
              </a:solidFill>
              <a:latin typeface="Aptos" panose="020B0004020202020204" pitchFamily="34" charset="0"/>
              <a:ea typeface="+mn-ea"/>
              <a:cs typeface="+mn-cs"/>
            </a:rPr>
            <a:t>Total</a:t>
          </a:r>
          <a:r>
            <a:rPr lang="en-IN" sz="1100"/>
            <a:t> </a:t>
          </a:r>
          <a:r>
            <a:rPr lang="en-IN" sz="2000" b="1">
              <a:solidFill>
                <a:schemeClr val="accent1">
                  <a:lumMod val="50000"/>
                </a:schemeClr>
              </a:solidFill>
              <a:latin typeface="Aptos" panose="020B0004020202020204" pitchFamily="34" charset="0"/>
              <a:ea typeface="+mn-ea"/>
              <a:cs typeface="+mn-cs"/>
            </a:rPr>
            <a:t>Call</a:t>
          </a:r>
          <a:r>
            <a:rPr lang="en-IN" sz="1100"/>
            <a:t> </a:t>
          </a:r>
          <a:r>
            <a:rPr lang="en-IN" sz="2000" b="1">
              <a:solidFill>
                <a:schemeClr val="accent1">
                  <a:lumMod val="50000"/>
                </a:schemeClr>
              </a:solidFill>
              <a:latin typeface="Aptos" panose="020B0004020202020204" pitchFamily="34" charset="0"/>
              <a:ea typeface="+mn-ea"/>
              <a:cs typeface="+mn-cs"/>
            </a:rPr>
            <a:t>Duration</a:t>
          </a:r>
        </a:p>
      </xdr:txBody>
    </xdr:sp>
    <xdr:clientData/>
  </xdr:twoCellAnchor>
  <xdr:twoCellAnchor>
    <xdr:from>
      <xdr:col>10</xdr:col>
      <xdr:colOff>369453</xdr:colOff>
      <xdr:row>7</xdr:row>
      <xdr:rowOff>115453</xdr:rowOff>
    </xdr:from>
    <xdr:to>
      <xdr:col>13</xdr:col>
      <xdr:colOff>392545</xdr:colOff>
      <xdr:row>9</xdr:row>
      <xdr:rowOff>69272</xdr:rowOff>
    </xdr:to>
    <xdr:sp macro="" textlink="">
      <xdr:nvSpPr>
        <xdr:cNvPr id="22" name="TextBox 21">
          <a:extLst>
            <a:ext uri="{FF2B5EF4-FFF2-40B4-BE49-F238E27FC236}">
              <a16:creationId xmlns:a16="http://schemas.microsoft.com/office/drawing/2014/main" id="{0D77874D-F8B6-C534-F475-45765A72EBA3}"/>
            </a:ext>
          </a:extLst>
        </xdr:cNvPr>
        <xdr:cNvSpPr txBox="1"/>
      </xdr:nvSpPr>
      <xdr:spPr>
        <a:xfrm>
          <a:off x="5980544" y="2274453"/>
          <a:ext cx="1858819" cy="36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1">
                  <a:lumMod val="75000"/>
                </a:schemeClr>
              </a:solidFill>
              <a:latin typeface="Aptos" panose="020B0004020202020204" pitchFamily="34" charset="0"/>
              <a:ea typeface="+mn-ea"/>
              <a:cs typeface="+mn-cs"/>
            </a:rPr>
            <a:t>(</a:t>
          </a:r>
          <a:r>
            <a:rPr lang="en-IN" sz="1100"/>
            <a:t> </a:t>
          </a:r>
          <a:r>
            <a:rPr lang="en-IN" sz="1600">
              <a:solidFill>
                <a:schemeClr val="accent1">
                  <a:lumMod val="75000"/>
                </a:schemeClr>
              </a:solidFill>
              <a:latin typeface="Aptos" panose="020B0004020202020204" pitchFamily="34" charset="0"/>
              <a:ea typeface="+mn-ea"/>
              <a:cs typeface="+mn-cs"/>
            </a:rPr>
            <a:t>in</a:t>
          </a:r>
          <a:r>
            <a:rPr lang="en-IN" sz="1100"/>
            <a:t> </a:t>
          </a:r>
          <a:r>
            <a:rPr lang="en-IN" sz="1600">
              <a:solidFill>
                <a:schemeClr val="accent1">
                  <a:lumMod val="75000"/>
                </a:schemeClr>
              </a:solidFill>
              <a:latin typeface="Aptos" panose="020B0004020202020204" pitchFamily="34" charset="0"/>
              <a:ea typeface="+mn-ea"/>
              <a:cs typeface="+mn-cs"/>
            </a:rPr>
            <a:t>seconds</a:t>
          </a:r>
          <a:r>
            <a:rPr lang="en-IN" sz="1100"/>
            <a:t> </a:t>
          </a:r>
          <a:r>
            <a:rPr lang="en-IN" sz="1600">
              <a:solidFill>
                <a:schemeClr val="accent1">
                  <a:lumMod val="75000"/>
                </a:schemeClr>
              </a:solidFill>
              <a:latin typeface="Aptos" panose="020B0004020202020204" pitchFamily="34" charset="0"/>
              <a:ea typeface="+mn-ea"/>
              <a:cs typeface="+mn-cs"/>
            </a:rPr>
            <a:t>)</a:t>
          </a:r>
        </a:p>
      </xdr:txBody>
    </xdr:sp>
    <xdr:clientData/>
  </xdr:twoCellAnchor>
  <xdr:twoCellAnchor>
    <xdr:from>
      <xdr:col>14</xdr:col>
      <xdr:colOff>127000</xdr:colOff>
      <xdr:row>2</xdr:row>
      <xdr:rowOff>196273</xdr:rowOff>
    </xdr:from>
    <xdr:to>
      <xdr:col>18</xdr:col>
      <xdr:colOff>311727</xdr:colOff>
      <xdr:row>9</xdr:row>
      <xdr:rowOff>196273</xdr:rowOff>
    </xdr:to>
    <xdr:sp macro="" textlink="pivots!D4">
      <xdr:nvSpPr>
        <xdr:cNvPr id="23" name="Rectangle 1">
          <a:extLst>
            <a:ext uri="{FF2B5EF4-FFF2-40B4-BE49-F238E27FC236}">
              <a16:creationId xmlns:a16="http://schemas.microsoft.com/office/drawing/2014/main" id="{AFFAFA20-9F71-4DFB-9FA0-B09154CE8DAA}"/>
            </a:ext>
          </a:extLst>
        </xdr:cNvPr>
        <xdr:cNvSpPr/>
      </xdr:nvSpPr>
      <xdr:spPr>
        <a:xfrm>
          <a:off x="8185727" y="1096818"/>
          <a:ext cx="2701636" cy="1674091"/>
        </a:xfrm>
        <a:prstGeom prst="rect">
          <a:avLst/>
        </a:prstGeom>
        <a:solidFill>
          <a:schemeClr val="tx2">
            <a:lumMod val="20000"/>
            <a:lumOff val="8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0207E8A-00B1-4A7A-8D3E-B2455FC9D050}" type="TxLink">
            <a:rPr lang="en-US" sz="3200" b="1" i="0" u="none" strike="noStrike">
              <a:solidFill>
                <a:schemeClr val="accent1">
                  <a:lumMod val="50000"/>
                </a:schemeClr>
              </a:solidFill>
              <a:latin typeface="Sylfaen"/>
              <a:ea typeface="SimSun-ExtG" panose="02010609060101010101" pitchFamily="49" charset="-122"/>
              <a:cs typeface="+mn-cs"/>
            </a:rPr>
            <a:pPr marL="0" indent="0" algn="ctr"/>
            <a:t>4</a:t>
          </a:fld>
          <a:r>
            <a:rPr lang="en-US" sz="3200" b="1" i="0" u="none" strike="noStrike">
              <a:solidFill>
                <a:schemeClr val="accent1">
                  <a:lumMod val="50000"/>
                </a:schemeClr>
              </a:solidFill>
              <a:latin typeface="Sylfaen"/>
              <a:ea typeface="SimSun-ExtG" panose="02010609060101010101" pitchFamily="49" charset="-122"/>
              <a:cs typeface="+mn-cs"/>
            </a:rPr>
            <a:t>.0</a:t>
          </a:r>
          <a:r>
            <a:rPr lang="en-US" sz="3200" b="1" i="0" u="none" strike="noStrike" baseline="0">
              <a:solidFill>
                <a:schemeClr val="accent1">
                  <a:lumMod val="50000"/>
                </a:schemeClr>
              </a:solidFill>
              <a:latin typeface="Sylfaen"/>
              <a:ea typeface="SimSun-ExtG" panose="02010609060101010101" pitchFamily="49" charset="-122"/>
              <a:cs typeface="+mn-cs"/>
            </a:rPr>
            <a:t> / 5</a:t>
          </a:r>
          <a:endParaRPr lang="en-US" sz="3200" b="1" i="0" u="none" strike="noStrike">
            <a:solidFill>
              <a:schemeClr val="accent1">
                <a:lumMod val="50000"/>
              </a:schemeClr>
            </a:solidFill>
            <a:latin typeface="+mn-lt"/>
            <a:ea typeface="SimSun-ExtG" panose="02010609060101010101" pitchFamily="49" charset="-122"/>
            <a:cs typeface="+mn-cs"/>
          </a:endParaRPr>
        </a:p>
      </xdr:txBody>
    </xdr:sp>
    <xdr:clientData/>
  </xdr:twoCellAnchor>
  <xdr:twoCellAnchor>
    <xdr:from>
      <xdr:col>14</xdr:col>
      <xdr:colOff>496454</xdr:colOff>
      <xdr:row>3</xdr:row>
      <xdr:rowOff>34635</xdr:rowOff>
    </xdr:from>
    <xdr:to>
      <xdr:col>17</xdr:col>
      <xdr:colOff>496454</xdr:colOff>
      <xdr:row>3</xdr:row>
      <xdr:rowOff>404090</xdr:rowOff>
    </xdr:to>
    <xdr:sp macro="" textlink="">
      <xdr:nvSpPr>
        <xdr:cNvPr id="24" name="TextBox 23">
          <a:extLst>
            <a:ext uri="{FF2B5EF4-FFF2-40B4-BE49-F238E27FC236}">
              <a16:creationId xmlns:a16="http://schemas.microsoft.com/office/drawing/2014/main" id="{59E30330-4FA3-A9E8-7E1F-9C6CBA9D89B1}"/>
            </a:ext>
          </a:extLst>
        </xdr:cNvPr>
        <xdr:cNvSpPr txBox="1"/>
      </xdr:nvSpPr>
      <xdr:spPr>
        <a:xfrm>
          <a:off x="8555181" y="1142999"/>
          <a:ext cx="1905000" cy="369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lumMod val="50000"/>
                </a:schemeClr>
              </a:solidFill>
              <a:latin typeface="Aptos" panose="020B0004020202020204" pitchFamily="34" charset="0"/>
              <a:ea typeface="+mn-ea"/>
              <a:cs typeface="+mn-cs"/>
            </a:rPr>
            <a:t>Average</a:t>
          </a:r>
          <a:r>
            <a:rPr lang="en-IN" sz="1100"/>
            <a:t> </a:t>
          </a:r>
          <a:r>
            <a:rPr lang="en-IN" sz="2000" b="1">
              <a:solidFill>
                <a:schemeClr val="accent1">
                  <a:lumMod val="50000"/>
                </a:schemeClr>
              </a:solidFill>
              <a:latin typeface="Aptos" panose="020B0004020202020204" pitchFamily="34" charset="0"/>
              <a:ea typeface="+mn-ea"/>
              <a:cs typeface="+mn-cs"/>
            </a:rPr>
            <a:t>Rating</a:t>
          </a:r>
        </a:p>
      </xdr:txBody>
    </xdr:sp>
    <xdr:clientData/>
  </xdr:twoCellAnchor>
  <xdr:twoCellAnchor>
    <xdr:from>
      <xdr:col>13</xdr:col>
      <xdr:colOff>531090</xdr:colOff>
      <xdr:row>6</xdr:row>
      <xdr:rowOff>69272</xdr:rowOff>
    </xdr:from>
    <xdr:to>
      <xdr:col>18</xdr:col>
      <xdr:colOff>554182</xdr:colOff>
      <xdr:row>10</xdr:row>
      <xdr:rowOff>138545</xdr:rowOff>
    </xdr:to>
    <xdr:sp macro="" textlink="">
      <xdr:nvSpPr>
        <xdr:cNvPr id="27" name="TextBox 26">
          <a:extLst>
            <a:ext uri="{FF2B5EF4-FFF2-40B4-BE49-F238E27FC236}">
              <a16:creationId xmlns:a16="http://schemas.microsoft.com/office/drawing/2014/main" id="{D8138C3F-C6BB-4692-93B2-B51B9275141B}"/>
            </a:ext>
          </a:extLst>
        </xdr:cNvPr>
        <xdr:cNvSpPr txBox="1"/>
      </xdr:nvSpPr>
      <xdr:spPr>
        <a:xfrm>
          <a:off x="7977908" y="2020454"/>
          <a:ext cx="3151910" cy="900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accent1">
                  <a:lumMod val="75000"/>
                </a:schemeClr>
              </a:solidFill>
              <a:latin typeface="Aptos" panose="020B0004020202020204" pitchFamily="34" charset="0"/>
            </a:rPr>
            <a:t>Strong</a:t>
          </a:r>
          <a:r>
            <a:rPr lang="en-IN" sz="1600" baseline="0">
              <a:solidFill>
                <a:schemeClr val="accent1">
                  <a:lumMod val="75000"/>
                </a:schemeClr>
              </a:solidFill>
              <a:latin typeface="Aptos" panose="020B0004020202020204" pitchFamily="34" charset="0"/>
            </a:rPr>
            <a:t> customer satisfaction</a:t>
          </a:r>
          <a:endParaRPr lang="en-IN" sz="1600">
            <a:solidFill>
              <a:schemeClr val="accent1">
                <a:lumMod val="75000"/>
              </a:schemeClr>
            </a:solidFill>
            <a:latin typeface="Aptos" panose="020B0004020202020204" pitchFamily="34" charset="0"/>
          </a:endParaRPr>
        </a:p>
      </xdr:txBody>
    </xdr:sp>
    <xdr:clientData/>
  </xdr:twoCellAnchor>
  <xdr:twoCellAnchor>
    <xdr:from>
      <xdr:col>18</xdr:col>
      <xdr:colOff>554182</xdr:colOff>
      <xdr:row>2</xdr:row>
      <xdr:rowOff>196274</xdr:rowOff>
    </xdr:from>
    <xdr:to>
      <xdr:col>23</xdr:col>
      <xdr:colOff>80817</xdr:colOff>
      <xdr:row>9</xdr:row>
      <xdr:rowOff>184729</xdr:rowOff>
    </xdr:to>
    <xdr:sp macro="" textlink="pivots!E4">
      <xdr:nvSpPr>
        <xdr:cNvPr id="30" name="Rectangle 1">
          <a:extLst>
            <a:ext uri="{FF2B5EF4-FFF2-40B4-BE49-F238E27FC236}">
              <a16:creationId xmlns:a16="http://schemas.microsoft.com/office/drawing/2014/main" id="{A81D6EDA-EDD6-4ACA-A6C5-9A636E9CE908}"/>
            </a:ext>
          </a:extLst>
        </xdr:cNvPr>
        <xdr:cNvSpPr/>
      </xdr:nvSpPr>
      <xdr:spPr>
        <a:xfrm>
          <a:off x="11129818" y="1096819"/>
          <a:ext cx="2586181" cy="1662546"/>
        </a:xfrm>
        <a:prstGeom prst="rect">
          <a:avLst/>
        </a:prstGeom>
        <a:solidFill>
          <a:schemeClr val="tx2">
            <a:lumMod val="20000"/>
            <a:lumOff val="80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3748E08-02B0-49F9-A652-3E5DCB10C90B}" type="TxLink">
            <a:rPr lang="en-US" sz="3200" b="1" i="0" u="none" strike="noStrike">
              <a:solidFill>
                <a:srgbClr val="000000"/>
              </a:solidFill>
              <a:latin typeface="Sylfaen"/>
              <a:ea typeface="SimSun-ExtG" panose="02010609060101010101" pitchFamily="49" charset="-122"/>
              <a:cs typeface="+mn-cs"/>
            </a:rPr>
            <a:pPr marL="0" indent="0" algn="ctr"/>
            <a:t>307</a:t>
          </a:fld>
          <a:endParaRPr lang="en-US" sz="3200" b="1" i="0" u="none" strike="noStrike">
            <a:solidFill>
              <a:schemeClr val="accent1">
                <a:lumMod val="50000"/>
              </a:schemeClr>
            </a:solidFill>
            <a:latin typeface="+mn-lt"/>
            <a:ea typeface="SimSun-ExtG" panose="02010609060101010101" pitchFamily="49" charset="-122"/>
            <a:cs typeface="+mn-cs"/>
          </a:endParaRPr>
        </a:p>
      </xdr:txBody>
    </xdr:sp>
    <xdr:clientData/>
  </xdr:twoCellAnchor>
  <xdr:twoCellAnchor>
    <xdr:from>
      <xdr:col>18</xdr:col>
      <xdr:colOff>565727</xdr:colOff>
      <xdr:row>2</xdr:row>
      <xdr:rowOff>184728</xdr:rowOff>
    </xdr:from>
    <xdr:to>
      <xdr:col>23</xdr:col>
      <xdr:colOff>69272</xdr:colOff>
      <xdr:row>3</xdr:row>
      <xdr:rowOff>484909</xdr:rowOff>
    </xdr:to>
    <xdr:sp macro="" textlink="">
      <xdr:nvSpPr>
        <xdr:cNvPr id="31" name="TextBox 30">
          <a:extLst>
            <a:ext uri="{FF2B5EF4-FFF2-40B4-BE49-F238E27FC236}">
              <a16:creationId xmlns:a16="http://schemas.microsoft.com/office/drawing/2014/main" id="{BCF02693-E20F-43A3-8F73-A332179820DE}"/>
            </a:ext>
          </a:extLst>
        </xdr:cNvPr>
        <xdr:cNvSpPr txBox="1"/>
      </xdr:nvSpPr>
      <xdr:spPr>
        <a:xfrm rot="10800000" flipH="1" flipV="1">
          <a:off x="11141363" y="1085273"/>
          <a:ext cx="2563091"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lumMod val="50000"/>
                </a:schemeClr>
              </a:solidFill>
              <a:latin typeface="Aptos" panose="020B0004020202020204" pitchFamily="34" charset="0"/>
            </a:rPr>
            <a:t>Satisfied</a:t>
          </a:r>
          <a:r>
            <a:rPr lang="en-IN" sz="2000" b="1" baseline="0">
              <a:solidFill>
                <a:schemeClr val="accent1">
                  <a:lumMod val="50000"/>
                </a:schemeClr>
              </a:solidFill>
              <a:latin typeface="Aptos" panose="020B0004020202020204" pitchFamily="34" charset="0"/>
            </a:rPr>
            <a:t> Callers</a:t>
          </a:r>
          <a:endParaRPr lang="en-IN" sz="2000" b="1">
            <a:solidFill>
              <a:schemeClr val="accent1">
                <a:lumMod val="50000"/>
              </a:schemeClr>
            </a:solidFill>
            <a:latin typeface="Aptos" panose="020B0004020202020204" pitchFamily="34" charset="0"/>
          </a:endParaRPr>
        </a:p>
      </xdr:txBody>
    </xdr:sp>
    <xdr:clientData/>
  </xdr:twoCellAnchor>
  <xdr:twoCellAnchor>
    <xdr:from>
      <xdr:col>19</xdr:col>
      <xdr:colOff>277092</xdr:colOff>
      <xdr:row>7</xdr:row>
      <xdr:rowOff>138545</xdr:rowOff>
    </xdr:from>
    <xdr:to>
      <xdr:col>22</xdr:col>
      <xdr:colOff>357909</xdr:colOff>
      <xdr:row>9</xdr:row>
      <xdr:rowOff>39831</xdr:rowOff>
    </xdr:to>
    <xdr:sp macro="" textlink="">
      <xdr:nvSpPr>
        <xdr:cNvPr id="35" name="TextBox 34">
          <a:extLst>
            <a:ext uri="{FF2B5EF4-FFF2-40B4-BE49-F238E27FC236}">
              <a16:creationId xmlns:a16="http://schemas.microsoft.com/office/drawing/2014/main" id="{9181BCAC-239D-4B9E-8DEA-2EB2A020EB9A}"/>
            </a:ext>
          </a:extLst>
        </xdr:cNvPr>
        <xdr:cNvSpPr txBox="1"/>
      </xdr:nvSpPr>
      <xdr:spPr>
        <a:xfrm>
          <a:off x="11464637" y="2297545"/>
          <a:ext cx="1916545" cy="316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accent1">
                  <a:lumMod val="75000"/>
                </a:schemeClr>
              </a:solidFill>
              <a:latin typeface="Aptos" panose="020B0004020202020204" pitchFamily="34" charset="0"/>
            </a:rPr>
            <a:t>31%</a:t>
          </a:r>
          <a:r>
            <a:rPr lang="en-IN" sz="1600" baseline="0">
              <a:solidFill>
                <a:schemeClr val="accent1">
                  <a:lumMod val="75000"/>
                </a:schemeClr>
              </a:solidFill>
              <a:latin typeface="Aptos" panose="020B0004020202020204" pitchFamily="34" charset="0"/>
            </a:rPr>
            <a:t> of total calls</a:t>
          </a:r>
          <a:endParaRPr lang="en-IN" sz="1600">
            <a:solidFill>
              <a:schemeClr val="accent1">
                <a:lumMod val="75000"/>
              </a:schemeClr>
            </a:solidFill>
            <a:latin typeface="Aptos" panose="020B0004020202020204" pitchFamily="34"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unnu" refreshedDate="46246.568974305555" backgroundQuery="1" createdVersion="8" refreshedVersion="8" minRefreshableVersion="3" recordCount="0" supportSubquery="1" supportAdvancedDrill="1" xr:uid="{32BFEC07-C18A-406C-B0CB-5D8227B526DA}">
  <cacheSource type="external" connectionId="1"/>
  <cacheFields count="5">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unnu" refreshedDate="46246.568975231479" backgroundQuery="1" createdVersion="8" refreshedVersion="8" minRefreshableVersion="3" recordCount="0" supportSubquery="1" supportAdvancedDrill="1" xr:uid="{8E452080-6024-429A-9A18-780433537C08}">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unnu" refreshedDate="46246.568976041664" backgroundQuery="1" createdVersion="8" refreshedVersion="8" minRefreshableVersion="3" recordCount="0" supportSubquery="1" supportAdvancedDrill="1" xr:uid="{02A13848-A236-4AE9-9075-0C1D76392297}">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unnu" refreshedDate="46301.533360648151" backgroundQuery="1" createdVersion="8" refreshedVersion="8" minRefreshableVersion="3" recordCount="0" supportSubquery="1" supportAdvancedDrill="1" xr:uid="{D20252F1-C8A0-4B02-9E49-D7EFED8CC8AD}">
  <cacheSource type="external" connectionId="1"/>
  <cacheFields count="6">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unnu" refreshedDate="46301.533361458336" backgroundQuery="1" createdVersion="8" refreshedVersion="8" minRefreshableVersion="3" recordCount="0" supportSubquery="1" supportAdvancedDrill="1" xr:uid="{93A53B8D-987D-4EAE-BD2B-925E4CF2CA88}">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279">
        <d v="2023-01-01T00:00:00"/>
        <d v="2023-01-02T00:00:00"/>
        <d v="2023-01-03T00:00:00"/>
        <d v="2023-01-04T00:00:00"/>
        <d v="2023-01-05T00:00:00"/>
        <d v="2023-01-06T00:00:00"/>
        <d v="2023-01-07T00:00:00"/>
        <d v="2023-01-08T00:00:00"/>
        <d v="2023-01-09T00:00:00"/>
        <d v="2023-01-10T00:00:00"/>
        <d v="2023-01-12T00:00:00"/>
        <d v="2023-01-15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4T00:00:00"/>
        <d v="2023-04-15T00:00:00"/>
        <d v="2023-04-16T00:00:00"/>
        <d v="2023-04-17T00:00:00"/>
        <d v="2023-04-18T00:00:00"/>
        <d v="2023-04-19T00:00:00"/>
        <d v="2023-04-20T00:00:00"/>
        <d v="2023-04-21T00:00:00"/>
        <d v="2023-04-22T00:00:00"/>
        <d v="2023-04-23T00:00:00"/>
        <d v="2023-04-24T00:00:00"/>
        <d v="2023-04-26T00:00:00"/>
        <d v="2023-04-27T00:00:00"/>
        <d v="2023-04-28T00:00:00"/>
        <d v="2023-04-29T00:00:00"/>
        <d v="2023-04-30T00:00:00"/>
        <d v="2023-05-01T00:00:00"/>
        <d v="2023-05-02T00:00:00"/>
        <d v="2023-05-03T00:00:00"/>
        <d v="2023-05-04T00:00:00"/>
        <d v="2023-05-06T00:00:00"/>
        <d v="2023-05-07T00:00:00"/>
        <d v="2023-05-08T00:00:00"/>
        <d v="2023-05-10T00:00:00"/>
        <d v="2023-05-11T00:00:00"/>
        <d v="2023-05-12T00:00:00"/>
        <d v="2023-05-14T00:00:00"/>
        <d v="2023-05-15T00:00:00"/>
        <d v="2023-05-16T00:00:00"/>
        <d v="2023-05-17T00:00:00"/>
        <d v="2023-05-21T00:00:00"/>
        <d v="2023-05-22T00:00:00"/>
        <d v="2023-05-23T00:00:00"/>
        <d v="2023-05-24T00:00:00"/>
        <d v="2023-05-25T00:00:00"/>
        <d v="2023-05-26T00:00:00"/>
        <d v="2023-05-27T00:00:00"/>
        <d v="2023-05-28T00:00:00"/>
        <d v="2023-05-29T00:00:00"/>
        <d v="2023-05-30T00:00:00"/>
        <d v="2023-06-03T00:00:00"/>
        <d v="2023-06-05T00:00:00"/>
        <d v="2023-06-08T00:00:00"/>
        <d v="2023-06-09T00:00:00"/>
        <d v="2023-06-10T00:00:00"/>
        <d v="2023-06-11T00:00:00"/>
        <d v="2023-06-13T00:00:00"/>
        <d v="2023-06-14T00:00:00"/>
        <d v="2023-06-15T00:00:00"/>
        <d v="2023-06-16T00:00:00"/>
        <d v="2023-06-17T00:00:00"/>
        <d v="2023-06-18T00:00:00"/>
        <d v="2023-06-20T00:00:00"/>
        <d v="2023-06-21T00:00:00"/>
        <d v="2023-06-23T00:00:00"/>
        <d v="2023-06-24T00:00:00"/>
        <d v="2023-06-25T00:00:00"/>
        <d v="2023-06-26T00:00:00"/>
        <d v="2023-06-27T00:00:00"/>
        <d v="2023-06-28T00:00:00"/>
        <d v="2023-06-29T00:00:00"/>
        <d v="2023-06-30T00:00:00"/>
        <d v="2023-07-01T00:00:00"/>
        <d v="2023-07-02T00:00:00"/>
        <d v="2023-07-05T00:00:00"/>
        <d v="2023-07-06T00:00:00"/>
        <d v="2023-07-07T00:00:00"/>
        <d v="2023-07-08T00:00:00"/>
        <d v="2023-07-10T00:00:00"/>
        <d v="2023-07-12T00:00:00"/>
        <d v="2023-07-13T00:00:00"/>
        <d v="2023-07-14T00:00:00"/>
        <d v="2023-07-15T00:00:00"/>
        <d v="2023-07-16T00:00:00"/>
        <d v="2023-07-17T00:00:00"/>
        <d v="2023-07-18T00:00:00"/>
        <d v="2023-07-19T00:00:00"/>
        <d v="2023-07-20T00:00:00"/>
        <d v="2023-07-21T00:00:00"/>
        <d v="2023-07-22T00:00:00"/>
        <d v="2023-07-27T00:00:00"/>
        <d v="2023-07-28T00:00:00"/>
        <d v="2023-07-29T00:00:00"/>
        <d v="2023-07-31T00:00:00"/>
        <d v="2023-08-02T00:00:00"/>
        <d v="2023-08-04T00:00:00"/>
        <d v="2023-08-06T00:00:00"/>
        <d v="2023-08-10T00:00:00"/>
        <d v="2023-08-13T00:00:00"/>
        <d v="2023-08-16T00:00:00"/>
        <d v="2023-08-18T00:00:00"/>
        <d v="2023-08-19T00:00:00"/>
        <d v="2023-08-20T00:00:00"/>
        <d v="2023-08-21T00:00:00"/>
        <d v="2023-08-23T00:00:00"/>
        <d v="2023-08-24T00:00:00"/>
        <d v="2023-08-25T00:00:00"/>
        <d v="2023-08-26T00:00:00"/>
        <d v="2023-08-27T00:00:00"/>
        <d v="2023-08-30T00:00:00"/>
        <d v="2023-09-01T00:00:00"/>
        <d v="2023-09-04T00:00:00"/>
        <d v="2023-09-05T00:00:00"/>
        <d v="2023-09-06T00:00:00"/>
        <d v="2023-09-08T00:00:00"/>
        <d v="2023-09-09T00:00:00"/>
        <d v="2023-09-10T00:00:00"/>
        <d v="2023-09-14T00:00:00"/>
        <d v="2023-09-15T00:00:00"/>
        <d v="2023-09-17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8T00:00:00"/>
        <d v="2023-10-10T00:00:00"/>
        <d v="2023-10-11T00:00:00"/>
        <d v="2023-10-12T00:00:00"/>
        <d v="2023-10-14T00:00:00"/>
        <d v="2023-10-15T00:00:00"/>
        <d v="2023-10-16T00:00:00"/>
        <d v="2023-10-17T00:00:00"/>
        <d v="2023-10-18T00:00:00"/>
        <d v="2023-10-19T00:00:00"/>
        <d v="2023-10-20T00:00:00"/>
        <d v="2023-10-21T00:00:00"/>
        <d v="2023-10-22T00:00:00"/>
        <d v="2023-10-23T00:00:00"/>
        <d v="2023-10-24T00:00:00"/>
        <d v="2023-10-26T00:00:00"/>
        <d v="2023-10-27T00:00:00"/>
        <d v="2023-10-28T00:00:00"/>
        <d v="2023-10-29T00:00:00"/>
        <d v="2023-10-30T00:00:00"/>
        <d v="2023-11-01T00:00:00"/>
        <d v="2023-11-02T00:00:00"/>
        <d v="2023-11-04T00:00:00"/>
        <d v="2023-11-07T00:00:00"/>
        <d v="2023-11-08T00:00:00"/>
        <d v="2023-11-09T00:00:00"/>
        <d v="2023-11-10T00:00:00"/>
        <d v="2023-11-11T00:00:00"/>
        <d v="2023-11-12T00:00:00"/>
        <d v="2023-11-13T00:00:00"/>
        <d v="2023-11-14T00:00:00"/>
        <d v="2023-11-15T00:00:00"/>
        <d v="2023-11-17T00:00:00"/>
        <d v="2023-11-18T00:00:00"/>
        <d v="2023-11-19T00:00:00"/>
        <d v="2023-11-23T00:00:00"/>
        <d v="2023-11-24T00:00:00"/>
        <d v="2023-11-26T00:00:00"/>
        <d v="2023-11-28T00:00:00"/>
        <d v="2023-11-30T00:00:00"/>
        <d v="2023-12-01T00:00:00"/>
        <d v="2023-12-02T00:00:00"/>
        <d v="2023-12-03T00:00:00"/>
        <d v="2023-12-04T00:00:00"/>
        <d v="2023-12-05T00:00:00"/>
        <d v="2023-12-07T00:00:00"/>
        <d v="2023-12-09T00:00:00"/>
        <d v="2023-12-14T00:00:00"/>
        <d v="2023-12-15T00:00:00"/>
        <d v="2023-12-16T00:00:00"/>
        <d v="2023-12-17T00:00:00"/>
        <d v="2023-12-20T00:00:00"/>
        <d v="2023-12-24T00:00:00"/>
        <d v="2023-12-25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8"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unnu" refreshedDate="46301.533362152775" backgroundQuery="1" createdVersion="8" refreshedVersion="8" minRefreshableVersion="3" recordCount="0" supportSubquery="1" supportAdvancedDrill="1" xr:uid="{6A957927-0B44-4D4D-8DE5-A0988265DD45}">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unnu" refreshedDate="46301.533362731483" backgroundQuery="1" createdVersion="8" refreshedVersion="8" minRefreshableVersion="3" recordCount="0" supportSubquery="1" supportAdvancedDrill="1" xr:uid="{D8AFCCAD-CC1C-4A75-9BFA-00E79E0CC914}">
  <cacheSource type="external" connectionId="1"/>
  <cacheFields count="1">
    <cacheField name="[calls].[Representative].[Representative]" caption="Representative" numFmtId="0" hierarchy="3" level="1">
      <sharedItems count="1">
        <s v="R0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unnu" refreshedDate="46301.53336342593" backgroundQuery="1" createdVersion="8" refreshedVersion="8" minRefreshableVersion="3" recordCount="0" supportSubquery="1" supportAdvancedDrill="1" xr:uid="{D0A12BF0-6A65-48DE-BCCD-C64303C0EEA8}">
  <cacheSource type="external" connectionId="1"/>
  <cacheFields count="3">
    <cacheField name="[Measures].[Call Count]" caption="Call Count" numFmtId="0" hierarchy="18"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unnu" refreshedDate="46246.568967939813" backgroundQuery="1" createdVersion="3" refreshedVersion="8" minRefreshableVersion="3" recordCount="0" supportSubquery="1" supportAdvancedDrill="1" xr:uid="{218CC3E1-7159-4A1C-9EBF-A23195C77CBF}">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215451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977B6B-77BB-4C4E-90BA-1C3F1B860EB4}" name="week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location ref="H25:I33"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34"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98DA58-7930-451C-842D-FF81F32CFFD3}"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E94C4C-94F8-4E07-BF7D-2F600DF3190F}" name="summary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dataField fld="3" subtotal="count" baseField="0" baseItem="0"/>
    <dataField fld="4" subtotal="count" baseField="0" baseItem="0"/>
  </dataFields>
  <formats count="1">
    <format dxfId="14">
      <pivotArea outline="0" collapsedLevelsAreSubtotals="1" fieldPosition="0">
        <references count="1">
          <reference field="4294967294" count="1" selected="0">
            <x v="1"/>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2D75BF-F50A-4CB9-A1F1-1649A263D71D}" name="rep satisfact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78:D84"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95A9A7-B14E-4616-AFEC-CA5D7BFD6397}" name="selected rep "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65:A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16">
      <pivotArea dataOnly="0" fieldPosition="0">
        <references count="1">
          <reference field="0" count="0"/>
        </references>
      </pivotArea>
    </format>
    <format dxfId="15">
      <pivotArea dataOnly="0"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035A23-F82A-4FFA-8857-2426DE3E9991}" name="rep pivo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dataField fld="3" subtotal="count" baseField="0" baseItem="0"/>
    <dataField fld="4" subtotal="count" baseField="0" baseItem="0"/>
  </dataFields>
  <formats count="1">
    <format dxfId="17">
      <pivotArea outline="0" collapsedLevelsAreSubtotals="1" fieldPosition="0">
        <references count="1">
          <reference field="4294967294" count="1" selected="0">
            <x v="1"/>
          </reference>
        </references>
      </pivotArea>
    </format>
  </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B2E30F-EB0F-4B7F-B768-1F457435199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E66:H7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28" format="4" series="1">
      <pivotArea type="data" outline="0" fieldPosition="0">
        <references count="2">
          <reference field="4294967294" count="1" selected="0">
            <x v="0"/>
          </reference>
          <reference field="1" count="1" selected="0">
            <x v="0"/>
          </reference>
        </references>
      </pivotArea>
    </chartFormat>
    <chartFormat chart="28"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94313C-A05D-48AF-AF03-91EF480936F3}" name="Monthly trend"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D329353-A81D-4024-9CDE-C5FFDEF8D053}" sourceName="[calls].[Representative]">
  <pivotTables>
    <pivotTable tabId="6" name="rep pivot"/>
    <pivotTable tabId="6" name="Monthly trend"/>
    <pivotTable tabId="6" name="weekly trend"/>
    <pivotTable tabId="6" name="selected rep "/>
    <pivotTable tabId="6" name="rep satisfaction"/>
  </pivotTables>
  <data>
    <olap pivotCacheId="112154513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8D4B103-304A-41CE-8BE7-8AF4279CE430}" cache="Slicer_Representative" caption="Representative" level="1" style="SlicerStyleDark1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Stencil"/>
        <a:ea typeface=""/>
        <a:cs typeface=""/>
      </a:majorFont>
      <a:minorFont>
        <a:latin typeface="Sylfaen"/>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7C4A-D36E-44DE-B94B-C8EBA467DA5C}">
  <dimension ref="A3:J84"/>
  <sheetViews>
    <sheetView zoomScale="70" zoomScaleNormal="70" workbookViewId="0">
      <selection activeCell="F8" sqref="F8"/>
    </sheetView>
  </sheetViews>
  <sheetFormatPr defaultRowHeight="14.5" x14ac:dyDescent="0.35"/>
  <cols>
    <col min="1" max="1" width="15.1796875" bestFit="1" customWidth="1"/>
    <col min="2" max="2" width="10.7265625" bestFit="1" customWidth="1"/>
    <col min="3" max="3" width="15.1796875" bestFit="1" customWidth="1"/>
    <col min="4" max="4" width="10.7265625" bestFit="1" customWidth="1"/>
    <col min="5" max="5" width="8.1796875" bestFit="1" customWidth="1"/>
    <col min="8" max="8" width="15.1796875" bestFit="1" customWidth="1"/>
    <col min="9" max="9" width="10.7265625" bestFit="1" customWidth="1"/>
    <col min="10" max="10" width="11.7265625" bestFit="1" customWidth="1"/>
    <col min="12" max="12" width="15.1796875" bestFit="1" customWidth="1"/>
    <col min="13" max="13" width="10.7265625" bestFit="1" customWidth="1"/>
    <col min="14" max="17" width="6.90625" bestFit="1" customWidth="1"/>
    <col min="18" max="18" width="11.90625" bestFit="1" customWidth="1"/>
  </cols>
  <sheetData>
    <row r="3" spans="1:5" x14ac:dyDescent="0.35">
      <c r="A3" t="s">
        <v>1040</v>
      </c>
      <c r="B3" t="s">
        <v>1041</v>
      </c>
      <c r="C3" t="s">
        <v>1042</v>
      </c>
      <c r="D3" t="s">
        <v>1043</v>
      </c>
      <c r="E3" t="s">
        <v>1044</v>
      </c>
    </row>
    <row r="4" spans="1:5" x14ac:dyDescent="0.35">
      <c r="A4" s="20">
        <v>1000</v>
      </c>
      <c r="B4" s="23">
        <v>96623</v>
      </c>
      <c r="C4" s="20">
        <v>89850</v>
      </c>
      <c r="D4" s="21">
        <v>3.8854000000000033</v>
      </c>
      <c r="E4" s="20">
        <v>307</v>
      </c>
    </row>
    <row r="8" spans="1:5" ht="45" customHeight="1" x14ac:dyDescent="0.35"/>
    <row r="9" spans="1:5" x14ac:dyDescent="0.35">
      <c r="A9" t="s">
        <v>1040</v>
      </c>
      <c r="B9" t="s">
        <v>1041</v>
      </c>
      <c r="C9" t="s">
        <v>1042</v>
      </c>
      <c r="D9" t="s">
        <v>1043</v>
      </c>
      <c r="E9" t="s">
        <v>1044</v>
      </c>
    </row>
    <row r="10" spans="1:5" x14ac:dyDescent="0.35">
      <c r="A10" s="20">
        <v>189</v>
      </c>
      <c r="B10" s="23">
        <v>18415</v>
      </c>
      <c r="C10" s="20">
        <v>16834</v>
      </c>
      <c r="D10" s="21">
        <v>3.9227513227513247</v>
      </c>
      <c r="E10" s="20">
        <v>60</v>
      </c>
    </row>
    <row r="24" spans="1:9" x14ac:dyDescent="0.35">
      <c r="A24" s="22" t="s">
        <v>1045</v>
      </c>
      <c r="B24" t="s">
        <v>1040</v>
      </c>
      <c r="C24" t="s">
        <v>1059</v>
      </c>
    </row>
    <row r="25" spans="1:9" x14ac:dyDescent="0.35">
      <c r="A25" s="24" t="s">
        <v>1047</v>
      </c>
      <c r="B25" s="20">
        <v>16</v>
      </c>
      <c r="C25" s="20">
        <v>16</v>
      </c>
      <c r="H25" s="22" t="s">
        <v>1045</v>
      </c>
      <c r="I25" t="s">
        <v>1040</v>
      </c>
    </row>
    <row r="26" spans="1:9" x14ac:dyDescent="0.35">
      <c r="A26" s="24" t="s">
        <v>1048</v>
      </c>
      <c r="B26" s="20">
        <v>14</v>
      </c>
      <c r="C26" s="20">
        <v>14</v>
      </c>
      <c r="H26" s="24" t="s">
        <v>1063</v>
      </c>
      <c r="I26" s="20">
        <v>36</v>
      </c>
    </row>
    <row r="27" spans="1:9" x14ac:dyDescent="0.35">
      <c r="A27" s="24" t="s">
        <v>1049</v>
      </c>
      <c r="B27" s="20">
        <v>26</v>
      </c>
      <c r="C27" s="20">
        <v>26</v>
      </c>
      <c r="H27" s="24" t="s">
        <v>1061</v>
      </c>
      <c r="I27" s="20">
        <v>30</v>
      </c>
    </row>
    <row r="28" spans="1:9" x14ac:dyDescent="0.35">
      <c r="A28" s="24" t="s">
        <v>1050</v>
      </c>
      <c r="B28" s="20">
        <v>29</v>
      </c>
      <c r="C28" s="20">
        <v>29</v>
      </c>
      <c r="H28" s="24" t="s">
        <v>1065</v>
      </c>
      <c r="I28" s="20">
        <v>13</v>
      </c>
    </row>
    <row r="29" spans="1:9" x14ac:dyDescent="0.35">
      <c r="A29" s="24" t="s">
        <v>1051</v>
      </c>
      <c r="B29" s="20">
        <v>17</v>
      </c>
      <c r="C29" s="20">
        <v>17</v>
      </c>
      <c r="H29" s="24" t="s">
        <v>1066</v>
      </c>
      <c r="I29" s="20">
        <v>23</v>
      </c>
    </row>
    <row r="30" spans="1:9" x14ac:dyDescent="0.35">
      <c r="A30" s="24" t="s">
        <v>1052</v>
      </c>
      <c r="B30" s="20">
        <v>15</v>
      </c>
      <c r="C30" s="20">
        <v>15</v>
      </c>
      <c r="H30" s="24" t="s">
        <v>1064</v>
      </c>
      <c r="I30" s="20">
        <v>23</v>
      </c>
    </row>
    <row r="31" spans="1:9" x14ac:dyDescent="0.35">
      <c r="A31" s="24" t="s">
        <v>1053</v>
      </c>
      <c r="B31" s="20">
        <v>15</v>
      </c>
      <c r="C31" s="20">
        <v>15</v>
      </c>
      <c r="H31" s="24" t="s">
        <v>1060</v>
      </c>
      <c r="I31" s="20">
        <v>24</v>
      </c>
    </row>
    <row r="32" spans="1:9" x14ac:dyDescent="0.35">
      <c r="A32" s="24" t="s">
        <v>1054</v>
      </c>
      <c r="B32" s="20">
        <v>7</v>
      </c>
      <c r="C32" s="20">
        <v>7</v>
      </c>
      <c r="H32" s="24" t="s">
        <v>1062</v>
      </c>
      <c r="I32" s="20">
        <v>40</v>
      </c>
    </row>
    <row r="33" spans="1:9" x14ac:dyDescent="0.35">
      <c r="A33" s="24" t="s">
        <v>1055</v>
      </c>
      <c r="B33" s="20">
        <v>11</v>
      </c>
      <c r="C33" s="20">
        <v>11</v>
      </c>
      <c r="H33" s="24" t="s">
        <v>1046</v>
      </c>
      <c r="I33" s="20">
        <v>189</v>
      </c>
    </row>
    <row r="34" spans="1:9" x14ac:dyDescent="0.35">
      <c r="A34" s="24" t="s">
        <v>1056</v>
      </c>
      <c r="B34" s="20">
        <v>24</v>
      </c>
      <c r="C34" s="20">
        <v>24</v>
      </c>
    </row>
    <row r="35" spans="1:9" x14ac:dyDescent="0.35">
      <c r="A35" s="24" t="s">
        <v>1057</v>
      </c>
      <c r="B35" s="20">
        <v>9</v>
      </c>
      <c r="C35" s="20">
        <v>9</v>
      </c>
    </row>
    <row r="36" spans="1:9" x14ac:dyDescent="0.35">
      <c r="A36" s="24" t="s">
        <v>1058</v>
      </c>
      <c r="B36" s="20">
        <v>6</v>
      </c>
      <c r="C36" s="20">
        <v>6</v>
      </c>
    </row>
    <row r="37" spans="1:9" x14ac:dyDescent="0.35">
      <c r="A37" s="24" t="s">
        <v>1046</v>
      </c>
      <c r="B37" s="20">
        <v>189</v>
      </c>
      <c r="C37" s="20">
        <v>189</v>
      </c>
    </row>
    <row r="50" spans="1:10" x14ac:dyDescent="0.35">
      <c r="F50" t="s">
        <v>1067</v>
      </c>
      <c r="I50" t="s">
        <v>1073</v>
      </c>
      <c r="J50" t="str">
        <f>A66</f>
        <v>R01</v>
      </c>
    </row>
    <row r="52" spans="1:10" x14ac:dyDescent="0.35">
      <c r="A52" s="22" t="s">
        <v>1045</v>
      </c>
      <c r="B52" t="s">
        <v>1040</v>
      </c>
      <c r="C52" t="s">
        <v>1041</v>
      </c>
      <c r="F52" t="s">
        <v>1068</v>
      </c>
      <c r="G52" t="s">
        <v>1069</v>
      </c>
      <c r="H52" t="s">
        <v>1070</v>
      </c>
      <c r="I52" t="s">
        <v>1071</v>
      </c>
      <c r="J52" t="s">
        <v>1072</v>
      </c>
    </row>
    <row r="53" spans="1:10" x14ac:dyDescent="0.35">
      <c r="A53" s="24" t="s">
        <v>11</v>
      </c>
      <c r="B53" s="20">
        <v>189</v>
      </c>
      <c r="C53" s="27">
        <v>18415</v>
      </c>
      <c r="F53" t="str" cm="1">
        <f t="array" ref="F53:H57">A53:C57</f>
        <v>R01</v>
      </c>
      <c r="G53">
        <v>189</v>
      </c>
      <c r="H53" s="25">
        <v>18415</v>
      </c>
      <c r="I53">
        <f>IF(F53=$J$50,G53,NA())</f>
        <v>189</v>
      </c>
      <c r="J53">
        <f>IF(F53=$J$50,H53,NA())</f>
        <v>18415</v>
      </c>
    </row>
    <row r="54" spans="1:10" x14ac:dyDescent="0.35">
      <c r="A54" s="24" t="s">
        <v>9</v>
      </c>
      <c r="B54" s="20">
        <v>218</v>
      </c>
      <c r="C54" s="27">
        <v>20581</v>
      </c>
      <c r="F54" t="str">
        <v>R02</v>
      </c>
      <c r="G54">
        <v>218</v>
      </c>
      <c r="H54" s="25">
        <v>20581</v>
      </c>
      <c r="I54" t="e">
        <f t="shared" ref="I54:I57" si="0">IF(F54=$J$50,G54,NA())</f>
        <v>#N/A</v>
      </c>
      <c r="J54" t="e">
        <f t="shared" ref="J54:J57" si="1">IF(F54=$J$50,H54,NA())</f>
        <v>#N/A</v>
      </c>
    </row>
    <row r="55" spans="1:10" x14ac:dyDescent="0.35">
      <c r="A55" s="24" t="s">
        <v>6</v>
      </c>
      <c r="B55" s="20">
        <v>207</v>
      </c>
      <c r="C55" s="27">
        <v>20872</v>
      </c>
      <c r="F55" t="str">
        <v>R03</v>
      </c>
      <c r="G55">
        <v>207</v>
      </c>
      <c r="H55" s="25">
        <v>20872</v>
      </c>
      <c r="I55" t="e">
        <f t="shared" si="0"/>
        <v>#N/A</v>
      </c>
      <c r="J55" t="e">
        <f t="shared" si="1"/>
        <v>#N/A</v>
      </c>
    </row>
    <row r="56" spans="1:10" x14ac:dyDescent="0.35">
      <c r="A56" s="24" t="s">
        <v>13</v>
      </c>
      <c r="B56" s="20">
        <v>186</v>
      </c>
      <c r="C56" s="27">
        <v>16651</v>
      </c>
      <c r="F56" t="str">
        <v>R04</v>
      </c>
      <c r="G56">
        <v>186</v>
      </c>
      <c r="H56" s="25">
        <v>16651</v>
      </c>
      <c r="I56" t="e">
        <f t="shared" si="0"/>
        <v>#N/A</v>
      </c>
      <c r="J56" t="e">
        <f t="shared" si="1"/>
        <v>#N/A</v>
      </c>
    </row>
    <row r="57" spans="1:10" x14ac:dyDescent="0.35">
      <c r="A57" s="24" t="s">
        <v>10</v>
      </c>
      <c r="B57" s="20">
        <v>200</v>
      </c>
      <c r="C57" s="27">
        <v>20104</v>
      </c>
      <c r="F57" t="str">
        <v>R05</v>
      </c>
      <c r="G57">
        <v>200</v>
      </c>
      <c r="H57" s="25">
        <v>20104</v>
      </c>
      <c r="I57" t="e">
        <f t="shared" si="0"/>
        <v>#N/A</v>
      </c>
      <c r="J57" t="e">
        <f t="shared" si="1"/>
        <v>#N/A</v>
      </c>
    </row>
    <row r="58" spans="1:10" x14ac:dyDescent="0.35">
      <c r="A58" s="24" t="s">
        <v>1046</v>
      </c>
      <c r="B58" s="20">
        <v>1000</v>
      </c>
      <c r="C58" s="27">
        <v>96623</v>
      </c>
    </row>
    <row r="65" spans="1:8" x14ac:dyDescent="0.35">
      <c r="A65" s="22" t="s">
        <v>1045</v>
      </c>
    </row>
    <row r="66" spans="1:8" x14ac:dyDescent="0.35">
      <c r="A66" s="26" t="s">
        <v>11</v>
      </c>
      <c r="E66" s="22" t="s">
        <v>1040</v>
      </c>
      <c r="F66" s="22" t="s">
        <v>1074</v>
      </c>
    </row>
    <row r="67" spans="1:8" x14ac:dyDescent="0.35">
      <c r="E67" s="22" t="s">
        <v>1045</v>
      </c>
      <c r="F67" t="s">
        <v>999</v>
      </c>
      <c r="G67" t="s">
        <v>998</v>
      </c>
      <c r="H67" t="s">
        <v>1046</v>
      </c>
    </row>
    <row r="68" spans="1:8" x14ac:dyDescent="0.35">
      <c r="E68" s="24" t="s">
        <v>1002</v>
      </c>
      <c r="F68" s="20">
        <v>144</v>
      </c>
      <c r="G68" s="20">
        <v>132</v>
      </c>
      <c r="H68" s="20">
        <v>276</v>
      </c>
    </row>
    <row r="69" spans="1:8" x14ac:dyDescent="0.35">
      <c r="E69" s="24" t="s">
        <v>1001</v>
      </c>
      <c r="F69" s="20">
        <v>326</v>
      </c>
      <c r="G69" s="20">
        <v>63</v>
      </c>
      <c r="H69" s="20">
        <v>389</v>
      </c>
    </row>
    <row r="70" spans="1:8" x14ac:dyDescent="0.35">
      <c r="E70" s="24" t="s">
        <v>1000</v>
      </c>
      <c r="F70" s="20">
        <v>129</v>
      </c>
      <c r="G70" s="20">
        <v>206</v>
      </c>
      <c r="H70" s="20">
        <v>335</v>
      </c>
    </row>
    <row r="71" spans="1:8" x14ac:dyDescent="0.35">
      <c r="E71" s="24" t="s">
        <v>1046</v>
      </c>
      <c r="F71" s="20">
        <v>599</v>
      </c>
      <c r="G71" s="20">
        <v>401</v>
      </c>
      <c r="H71" s="20">
        <v>1000</v>
      </c>
    </row>
    <row r="78" spans="1:8" x14ac:dyDescent="0.35">
      <c r="C78" s="22" t="s">
        <v>1045</v>
      </c>
      <c r="D78" t="s">
        <v>1040</v>
      </c>
    </row>
    <row r="79" spans="1:8" x14ac:dyDescent="0.35">
      <c r="C79" s="24">
        <v>1</v>
      </c>
      <c r="D79" s="20">
        <v>1</v>
      </c>
    </row>
    <row r="80" spans="1:8" x14ac:dyDescent="0.35">
      <c r="C80" s="24">
        <v>2</v>
      </c>
      <c r="D80" s="20">
        <v>9</v>
      </c>
    </row>
    <row r="81" spans="3:4" x14ac:dyDescent="0.35">
      <c r="C81" s="24">
        <v>3</v>
      </c>
      <c r="D81" s="20">
        <v>31</v>
      </c>
    </row>
    <row r="82" spans="3:4" x14ac:dyDescent="0.35">
      <c r="C82" s="24">
        <v>4</v>
      </c>
      <c r="D82" s="20">
        <v>88</v>
      </c>
    </row>
    <row r="83" spans="3:4" x14ac:dyDescent="0.35">
      <c r="C83" s="24">
        <v>5</v>
      </c>
      <c r="D83" s="20">
        <v>60</v>
      </c>
    </row>
    <row r="84" spans="3:4" x14ac:dyDescent="0.35">
      <c r="C84" s="24" t="s">
        <v>1046</v>
      </c>
      <c r="D84" s="20">
        <v>189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D1" zoomScale="55" zoomScaleNormal="55" workbookViewId="0">
      <selection activeCell="D9" sqref="D9"/>
    </sheetView>
  </sheetViews>
  <sheetFormatPr defaultRowHeight="14.5" x14ac:dyDescent="0.35"/>
  <cols>
    <col min="1" max="1" width="3.54296875" customWidth="1"/>
    <col min="2" max="2" width="14.6328125" customWidth="1"/>
    <col min="3" max="3" width="12.90625" customWidth="1"/>
    <col min="4" max="4" width="16.6328125" customWidth="1"/>
    <col min="5" max="5" width="15.08984375" customWidth="1"/>
    <col min="6" max="6" width="16.1796875" customWidth="1"/>
    <col min="7" max="7" width="17.26953125" customWidth="1"/>
    <col min="8" max="8" width="18.36328125" customWidth="1"/>
    <col min="9" max="9" width="17.26953125" customWidth="1"/>
    <col min="10" max="12" width="15.54296875" customWidth="1"/>
    <col min="13" max="16" width="7.54296875" customWidth="1"/>
    <col min="17" max="17" width="14.6328125" customWidth="1"/>
    <col min="20" max="20" width="10.6328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32A76-B398-4EB0-9BF4-F2E2BA43AE49}">
  <dimension ref="A1:Z50"/>
  <sheetViews>
    <sheetView tabSelected="1" zoomScale="55" zoomScaleNormal="55" workbookViewId="0">
      <selection activeCell="AE10" sqref="AE10"/>
    </sheetView>
  </sheetViews>
  <sheetFormatPr defaultRowHeight="16" customHeight="1" x14ac:dyDescent="0.35"/>
  <cols>
    <col min="1" max="1" width="8.1796875" customWidth="1"/>
    <col min="2" max="2" width="1.90625" customWidth="1"/>
    <col min="5" max="5" width="8.7265625" customWidth="1"/>
    <col min="15" max="15" width="9.81640625" customWidth="1"/>
  </cols>
  <sheetData>
    <row r="1" spans="1:26" ht="54.5" customHeight="1" x14ac:dyDescent="0.35">
      <c r="A1" s="28"/>
      <c r="B1" s="29"/>
      <c r="C1" s="29"/>
      <c r="D1" s="29"/>
      <c r="E1" s="29"/>
      <c r="F1" s="29"/>
      <c r="G1" s="29"/>
      <c r="H1" s="29"/>
      <c r="I1" s="29"/>
      <c r="J1" s="29"/>
      <c r="K1" s="29"/>
      <c r="L1" s="29"/>
      <c r="M1" s="29"/>
      <c r="N1" s="29"/>
      <c r="O1" s="29"/>
      <c r="P1" s="29"/>
      <c r="Q1" s="29"/>
      <c r="R1" s="29"/>
      <c r="S1" s="29"/>
      <c r="T1" s="29"/>
      <c r="U1" s="29"/>
      <c r="V1" s="29"/>
      <c r="W1" s="29"/>
      <c r="X1" s="29"/>
      <c r="Y1" s="29"/>
      <c r="Z1" s="30"/>
    </row>
    <row r="2" spans="1:26" ht="16" customHeight="1" x14ac:dyDescent="0.35">
      <c r="A2" s="30"/>
      <c r="B2" s="30"/>
      <c r="C2" s="30"/>
      <c r="D2" s="30"/>
      <c r="E2" s="30"/>
      <c r="F2" s="30"/>
      <c r="G2" s="30"/>
      <c r="H2" s="30"/>
      <c r="I2" s="30"/>
      <c r="J2" s="30"/>
      <c r="K2" s="30"/>
      <c r="L2" s="30"/>
      <c r="M2" s="30"/>
      <c r="N2" s="30"/>
      <c r="O2" s="30"/>
      <c r="P2" s="30"/>
      <c r="Q2" s="30"/>
      <c r="R2" s="30"/>
      <c r="S2" s="30"/>
      <c r="T2" s="30"/>
      <c r="U2" s="30"/>
      <c r="V2" s="30"/>
      <c r="W2" s="30"/>
      <c r="X2" s="30"/>
      <c r="Y2" s="30"/>
      <c r="Z2" s="30"/>
    </row>
    <row r="3" spans="1:26" ht="16" customHeight="1" x14ac:dyDescent="0.35">
      <c r="A3" s="30"/>
      <c r="B3" s="30"/>
      <c r="C3" s="30"/>
      <c r="D3" s="30"/>
      <c r="E3" s="30"/>
      <c r="F3" s="30"/>
      <c r="G3" s="30"/>
      <c r="H3" s="30"/>
      <c r="I3" s="30"/>
      <c r="J3" s="30"/>
      <c r="K3" s="30"/>
      <c r="L3" s="30"/>
      <c r="M3" s="30"/>
      <c r="N3" s="30"/>
      <c r="O3" s="30"/>
      <c r="P3" s="30"/>
      <c r="Q3" s="30"/>
      <c r="R3" s="30"/>
      <c r="S3" s="30"/>
      <c r="T3" s="30"/>
      <c r="U3" s="30"/>
      <c r="V3" s="30"/>
      <c r="W3" s="30"/>
      <c r="X3" s="30"/>
      <c r="Y3" s="30"/>
      <c r="Z3" s="30"/>
    </row>
    <row r="4" spans="1:26" ht="48.5" customHeight="1" x14ac:dyDescent="0.35">
      <c r="A4" s="30"/>
      <c r="B4" s="30"/>
      <c r="C4" s="30"/>
      <c r="D4" s="30"/>
      <c r="E4" s="30"/>
      <c r="F4" s="30"/>
      <c r="G4" s="30"/>
      <c r="H4" s="30"/>
      <c r="I4" s="30"/>
      <c r="J4" s="30"/>
      <c r="K4" s="30"/>
      <c r="L4" s="30"/>
      <c r="M4" s="30"/>
      <c r="N4" s="30"/>
      <c r="O4" s="30"/>
      <c r="P4" s="30"/>
      <c r="Q4" s="30"/>
      <c r="R4" s="30"/>
      <c r="S4" s="30"/>
      <c r="T4" s="30"/>
      <c r="U4" s="30"/>
      <c r="V4" s="30"/>
      <c r="W4" s="30"/>
      <c r="X4" s="30"/>
      <c r="Y4" s="30"/>
      <c r="Z4" s="30"/>
    </row>
    <row r="5" spans="1:26" ht="16" customHeight="1" x14ac:dyDescent="0.35">
      <c r="A5" s="30"/>
      <c r="B5" s="30"/>
      <c r="C5" s="30"/>
      <c r="D5" s="30"/>
      <c r="E5" s="30"/>
      <c r="F5" s="30"/>
      <c r="G5" s="30"/>
      <c r="H5" s="30"/>
      <c r="I5" s="30"/>
      <c r="J5" s="30"/>
      <c r="K5" s="30"/>
      <c r="L5" s="30"/>
      <c r="M5" s="30"/>
      <c r="N5" s="30"/>
      <c r="O5" s="30"/>
      <c r="P5" s="30"/>
      <c r="Q5" s="30"/>
      <c r="R5" s="30"/>
      <c r="S5" s="30"/>
      <c r="T5" s="30"/>
      <c r="U5" s="30"/>
      <c r="V5" s="30"/>
      <c r="W5" s="30"/>
      <c r="X5" s="30"/>
      <c r="Y5" s="30"/>
      <c r="Z5" s="30"/>
    </row>
    <row r="6" spans="1:26" ht="1.5" customHeight="1" x14ac:dyDescent="0.35">
      <c r="A6" s="30"/>
      <c r="B6" s="30"/>
      <c r="C6" s="30"/>
      <c r="D6" s="30"/>
      <c r="E6" s="30"/>
      <c r="F6" s="30"/>
      <c r="G6" s="30"/>
      <c r="H6" s="30"/>
      <c r="I6" s="30"/>
      <c r="J6" s="30"/>
      <c r="K6" s="30"/>
      <c r="L6" s="30"/>
      <c r="M6" s="30"/>
      <c r="N6" s="30"/>
      <c r="O6" s="30"/>
      <c r="P6" s="30"/>
      <c r="Q6" s="30"/>
      <c r="R6" s="30"/>
      <c r="S6" s="30"/>
      <c r="T6" s="30"/>
      <c r="U6" s="30"/>
      <c r="V6" s="30"/>
      <c r="W6" s="30"/>
      <c r="X6" s="30"/>
      <c r="Y6" s="30"/>
      <c r="Z6" s="30"/>
    </row>
    <row r="7" spans="1:26" ht="16" customHeight="1" x14ac:dyDescent="0.35">
      <c r="A7" s="30"/>
      <c r="B7" s="30"/>
      <c r="C7" s="30"/>
      <c r="D7" s="30"/>
      <c r="E7" s="30"/>
      <c r="F7" s="30"/>
      <c r="G7" s="30"/>
      <c r="H7" s="30"/>
      <c r="I7" s="30"/>
      <c r="J7" s="30"/>
      <c r="K7" s="30"/>
      <c r="L7" s="30"/>
      <c r="M7" s="30"/>
      <c r="N7" s="30"/>
      <c r="O7" s="30"/>
      <c r="P7" s="30"/>
      <c r="Q7" s="30"/>
      <c r="R7" s="30"/>
      <c r="S7" s="30"/>
      <c r="T7" s="30"/>
      <c r="U7" s="30"/>
      <c r="V7" s="30"/>
      <c r="W7" s="30"/>
      <c r="X7" s="30"/>
      <c r="Y7" s="30"/>
      <c r="Z7" s="30"/>
    </row>
    <row r="8" spans="1:26" ht="16" customHeight="1" x14ac:dyDescent="0.35">
      <c r="A8" s="30"/>
      <c r="B8" s="30"/>
      <c r="C8" s="30"/>
      <c r="D8" s="30"/>
      <c r="E8" s="30"/>
      <c r="F8" s="30"/>
      <c r="G8" s="30"/>
      <c r="H8" s="30"/>
      <c r="I8" s="30"/>
      <c r="J8" s="30"/>
      <c r="K8" s="30"/>
      <c r="L8" s="30"/>
      <c r="M8" s="30"/>
      <c r="N8" s="30"/>
      <c r="O8" s="30"/>
      <c r="P8" s="30"/>
      <c r="Q8" s="30"/>
      <c r="R8" s="30"/>
      <c r="S8" s="30"/>
      <c r="T8" s="30"/>
      <c r="U8" s="30"/>
      <c r="V8" s="30"/>
      <c r="W8" s="30"/>
      <c r="X8" s="30"/>
      <c r="Y8" s="30"/>
      <c r="Z8" s="30"/>
    </row>
    <row r="9" spans="1:26" ht="16" customHeight="1" x14ac:dyDescent="0.35">
      <c r="A9" s="30"/>
      <c r="B9" s="30"/>
      <c r="C9" s="30"/>
      <c r="D9" s="30"/>
      <c r="E9" s="30"/>
      <c r="F9" s="30"/>
      <c r="G9" s="30"/>
      <c r="H9" s="30"/>
      <c r="I9" s="30"/>
      <c r="J9" s="30"/>
      <c r="K9" s="30"/>
      <c r="L9" s="30"/>
      <c r="M9" s="30"/>
      <c r="N9" s="30"/>
      <c r="O9" s="30"/>
      <c r="P9" s="30"/>
      <c r="Q9" s="30"/>
      <c r="R9" s="30"/>
      <c r="S9" s="30"/>
      <c r="T9" s="30"/>
      <c r="U9" s="30"/>
      <c r="V9" s="30"/>
      <c r="W9" s="30"/>
      <c r="X9" s="30"/>
      <c r="Y9" s="30"/>
      <c r="Z9" s="30"/>
    </row>
    <row r="10" spans="1:26" ht="16" customHeight="1" x14ac:dyDescent="0.35">
      <c r="A10" s="30"/>
      <c r="B10" s="30"/>
      <c r="C10" s="30"/>
      <c r="D10" s="30"/>
      <c r="E10" s="30"/>
      <c r="F10" s="30"/>
      <c r="G10" s="31"/>
      <c r="H10" s="30"/>
      <c r="I10" s="30"/>
      <c r="J10" s="30"/>
      <c r="K10" s="30"/>
      <c r="L10" s="30"/>
      <c r="M10" s="30"/>
      <c r="N10" s="30"/>
      <c r="O10" s="30"/>
      <c r="P10" s="30"/>
      <c r="Q10" s="30"/>
      <c r="R10" s="30"/>
      <c r="S10" s="30"/>
      <c r="T10" s="30"/>
      <c r="U10" s="30"/>
      <c r="V10" s="30"/>
      <c r="W10" s="30"/>
      <c r="X10" s="30"/>
      <c r="Y10" s="30"/>
      <c r="Z10" s="30"/>
    </row>
    <row r="11" spans="1:26" ht="16" customHeight="1" x14ac:dyDescent="0.35">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spans="1:26" ht="16" customHeight="1" x14ac:dyDescent="0.35">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ht="16" customHeight="1" x14ac:dyDescent="0.35">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spans="1:26" ht="16" customHeight="1" x14ac:dyDescent="0.35">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spans="1:26" ht="16" customHeight="1" x14ac:dyDescent="0.3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spans="1:26" ht="16" customHeight="1" x14ac:dyDescent="0.35">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spans="1:26" ht="16" customHeight="1" x14ac:dyDescent="0.35">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spans="1:26" ht="16" customHeight="1" x14ac:dyDescent="0.35">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spans="1:26" ht="16" customHeight="1" x14ac:dyDescent="0.35">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spans="1:26" ht="16" customHeight="1" x14ac:dyDescent="0.35">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spans="1:26" ht="16" customHeight="1" x14ac:dyDescent="0.35">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spans="1:26" ht="16" customHeight="1" x14ac:dyDescent="0.35">
      <c r="A22" s="30"/>
      <c r="B22" s="30"/>
      <c r="C22" s="30"/>
      <c r="D22" s="30"/>
      <c r="E22" s="30"/>
      <c r="F22" s="30"/>
      <c r="G22" s="30"/>
      <c r="H22" s="30"/>
      <c r="I22" s="30"/>
      <c r="J22" s="30"/>
      <c r="K22" s="30"/>
      <c r="L22" s="30"/>
      <c r="M22" s="30"/>
      <c r="N22" s="30"/>
      <c r="O22" s="30"/>
      <c r="P22" s="30"/>
      <c r="Q22" s="30"/>
      <c r="R22" s="30"/>
      <c r="S22" s="30"/>
      <c r="T22" s="30"/>
      <c r="U22" s="30"/>
      <c r="V22" s="32"/>
      <c r="W22" s="30"/>
      <c r="X22" s="30"/>
      <c r="Y22" s="30"/>
      <c r="Z22" s="30"/>
    </row>
    <row r="23" spans="1:26" ht="16" customHeight="1" x14ac:dyDescent="0.35">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spans="1:26" ht="16" customHeight="1" x14ac:dyDescent="0.35">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spans="1:26" ht="16" customHeight="1" x14ac:dyDescent="0.3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spans="1:26" ht="16" customHeight="1" x14ac:dyDescent="0.35">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spans="1:26" ht="16" customHeight="1" x14ac:dyDescent="0.35">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spans="1:26" ht="16" customHeight="1" x14ac:dyDescent="0.35">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spans="1:26" ht="16" customHeight="1" x14ac:dyDescent="0.35">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spans="1:26" ht="16" customHeight="1" x14ac:dyDescent="0.35">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spans="1:26" ht="16" customHeight="1" x14ac:dyDescent="0.35">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spans="1:26" ht="16" customHeight="1" x14ac:dyDescent="0.35">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spans="1:26" ht="16" customHeight="1" x14ac:dyDescent="0.35">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spans="1:26" ht="16" customHeight="1" x14ac:dyDescent="0.35">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spans="1:26" ht="16" customHeight="1" x14ac:dyDescent="0.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spans="1:26" ht="16" customHeight="1" x14ac:dyDescent="0.35">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spans="1:26" ht="16" customHeight="1" x14ac:dyDescent="0.35">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spans="1:26" ht="16" customHeight="1" x14ac:dyDescent="0.35">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spans="1:26" ht="16" customHeight="1" x14ac:dyDescent="0.35">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spans="1:26" ht="16" customHeight="1" x14ac:dyDescent="0.35">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spans="1:26" ht="16" customHeight="1" x14ac:dyDescent="0.35">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spans="1:26" ht="16" customHeight="1" x14ac:dyDescent="0.35">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spans="1:26" ht="16" customHeight="1" x14ac:dyDescent="0.35">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spans="1:26" ht="16" customHeight="1" x14ac:dyDescent="0.35">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spans="1:26" ht="16" customHeight="1" x14ac:dyDescent="0.3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spans="1:26" ht="16" customHeight="1" x14ac:dyDescent="0.35">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spans="1:26" ht="16" customHeight="1" x14ac:dyDescent="0.35">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spans="1:26" ht="16" customHeight="1" x14ac:dyDescent="0.35">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spans="1:26" ht="16" customHeight="1" x14ac:dyDescent="0.35">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spans="1:26" ht="16" customHeight="1" x14ac:dyDescent="0.35">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Data</vt:lpstr>
      <vt:lpstr>Customer Centre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ANCHAL DHULL</cp:lastModifiedBy>
  <dcterms:created xsi:type="dcterms:W3CDTF">2021-03-14T20:21:32Z</dcterms:created>
  <dcterms:modified xsi:type="dcterms:W3CDTF">2026-10-06T09:18:18Z</dcterms:modified>
</cp:coreProperties>
</file>